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works\jcweb\杂\"/>
    </mc:Choice>
  </mc:AlternateContent>
  <xr:revisionPtr revIDLastSave="0" documentId="13_ncr:1_{2E2722E8-504F-47B6-97E9-50A791466AF9}" xr6:coauthVersionLast="47" xr6:coauthVersionMax="47" xr10:uidLastSave="{00000000-0000-0000-0000-000000000000}"/>
  <bookViews>
    <workbookView xWindow="0" yWindow="360" windowWidth="28995" windowHeight="15675" activeTab="10" xr2:uid="{00000000-000D-0000-FFFF-FFFF00000000}"/>
  </bookViews>
  <sheets>
    <sheet name="Sheet1" sheetId="1" r:id="rId1"/>
    <sheet name="Sheet2" sheetId="2" r:id="rId2"/>
    <sheet name="Sheet3" sheetId="3" r:id="rId3"/>
    <sheet name="04" sheetId="8" r:id="rId4"/>
    <sheet name="05" sheetId="4" r:id="rId5"/>
    <sheet name="06" sheetId="5" r:id="rId6"/>
    <sheet name="07" sheetId="7" r:id="rId7"/>
    <sheet name="08" sheetId="9" r:id="rId8"/>
    <sheet name="10" sheetId="11" r:id="rId9"/>
    <sheet name="XXX" sheetId="10" r:id="rId10"/>
    <sheet name="10 (2)" sheetId="13" r:id="rId11"/>
    <sheet name="XXX (3)" sheetId="14" r:id="rId12"/>
    <sheet name="XXX (2)" sheetId="12" r:id="rId13"/>
  </sheets>
  <definedNames>
    <definedName name="foursix" localSheetId="9">_xlfn.LAMBDA(_xlpm.x,_xlpm.n,_xlfn.LET(_xlpm.p,10^_xlpm.n,_xlpm.y,_xlpm.x*_xlpm.p,_xlpm.i,INT(_xlpm.y),_xlpm.d,ABS(_xlpm.y-_xlpm.i),_xlpm.r,IF(_xlpm.d&lt;&gt;0.5,ROUND(_xlpm.y,0),IF(MOD(_xlpm.i,2)=0,_xlpm.i,_xlpm.i+SIGN(_xlpm.y))),_xlpm.r/_xlpm.p))</definedName>
    <definedName name="foursix" localSheetId="12">_xlfn.LAMBDA(_xlpm.x,_xlpm.n,_xlfn.LET(_xlpm.p,10^_xlpm.n,_xlpm.y,_xlpm.x*_xlpm.p,_xlpm.i,INT(_xlpm.y),_xlpm.d,ABS(_xlpm.y-_xlpm.i),_xlpm.r,IF(_xlpm.d&lt;&gt;0.5,ROUND(_xlpm.y,0),IF(MOD(_xlpm.i,2)=0,_xlpm.i,_xlpm.i+SIGN(_xlpm.y))),_xlpm.r/_xlpm.p))</definedName>
    <definedName name="foursix" localSheetId="11">_xlfn.LAMBDA(_xlpm.x,_xlpm.n,_xlfn.LET(_xlpm.p,10^_xlpm.n,_xlpm.y,_xlpm.x*_xlpm.p,_xlpm.i,INT(_xlpm.y),_xlpm.d,ABS(_xlpm.y-_xlpm.i),_xlpm.r,IF(_xlpm.d&lt;&gt;0.5,ROUND(_xlpm.y,0),IF(MOD(_xlpm.i,2)=0,_xlpm.i,_xlpm.i+SIGN(_xlpm.y))),_xlpm.r/_xlpm.p))</definedName>
    <definedName name="foursix">_xlfn.LAMBDA(_xlpm.x,_xlpm.n,_xlfn.LET(_xlpm.p,10^_xlpm.n,_xlpm.y,_xlpm.x*_xlpm.p,_xlpm.i,INT(_xlpm.y),_xlpm.d,ABS(_xlpm.y-_xlpm.i),_xlpm.r,IF(_xlpm.d&lt;&gt;0.5,ROUND(_xlpm.y,0),IF(MOD(_xlpm.i,2)=0,_xlpm.i,_xlpm.i+SIGN(_xlpm.y))),_xlpm.r/_xlpm.p))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13" l="1" a="1"/>
  <c r="C24" i="13" s="1"/>
  <c r="D24" i="13" a="1"/>
  <c r="D24" i="13" s="1"/>
  <c r="E24" i="13" a="1"/>
  <c r="E24" i="13" s="1"/>
  <c r="F24" i="13" a="1"/>
  <c r="F24" i="13" s="1"/>
  <c r="G24" i="13" a="1"/>
  <c r="G24" i="13" s="1"/>
  <c r="H24" i="13" a="1"/>
  <c r="H24" i="13" s="1"/>
  <c r="I24" i="13" a="1"/>
  <c r="I24" i="13" s="1"/>
  <c r="J24" i="13" a="1"/>
  <c r="J24" i="13" s="1"/>
  <c r="C22" i="13" a="1"/>
  <c r="C22" i="13" s="1"/>
  <c r="D22" i="13" a="1"/>
  <c r="D22" i="13" s="1"/>
  <c r="E22" i="13" a="1"/>
  <c r="E22" i="13" s="1"/>
  <c r="F22" i="13" a="1"/>
  <c r="F22" i="13" s="1"/>
  <c r="G22" i="13" a="1"/>
  <c r="G22" i="13" s="1"/>
  <c r="H22" i="13" a="1"/>
  <c r="H22" i="13" s="1"/>
  <c r="I22" i="13" a="1"/>
  <c r="I22" i="13" s="1"/>
  <c r="J22" i="13" a="1"/>
  <c r="J22" i="13" s="1"/>
  <c r="C21" i="13" a="1"/>
  <c r="C21" i="13" s="1"/>
  <c r="D21" i="13" a="1"/>
  <c r="D21" i="13" s="1"/>
  <c r="E21" i="13" a="1"/>
  <c r="E21" i="13" s="1"/>
  <c r="F21" i="13" a="1"/>
  <c r="F21" i="13" s="1"/>
  <c r="G21" i="13" a="1"/>
  <c r="G21" i="13" s="1"/>
  <c r="H21" i="13" a="1"/>
  <c r="H21" i="13" s="1"/>
  <c r="I21" i="13" a="1"/>
  <c r="I21" i="13" s="1"/>
  <c r="J21" i="13" a="1"/>
  <c r="J21" i="13" s="1"/>
  <c r="C18" i="13" a="1"/>
  <c r="C18" i="13" s="1"/>
  <c r="D18" i="13" a="1"/>
  <c r="D18" i="13" s="1"/>
  <c r="E18" i="13" a="1"/>
  <c r="E18" i="13" s="1"/>
  <c r="F18" i="13" a="1"/>
  <c r="F18" i="13" s="1"/>
  <c r="G18" i="13" a="1"/>
  <c r="G18" i="13" s="1"/>
  <c r="H18" i="13" a="1"/>
  <c r="H18" i="13" s="1"/>
  <c r="I18" i="13" a="1"/>
  <c r="I18" i="13" s="1"/>
  <c r="J18" i="13" a="1"/>
  <c r="J18" i="13" s="1"/>
  <c r="C16" i="13" a="1"/>
  <c r="C16" i="13" s="1"/>
  <c r="D16" i="13" a="1"/>
  <c r="D16" i="13" s="1"/>
  <c r="E16" i="13" a="1"/>
  <c r="E16" i="13" s="1"/>
  <c r="F16" i="13" a="1"/>
  <c r="F16" i="13" s="1"/>
  <c r="G16" i="13" a="1"/>
  <c r="G16" i="13" s="1"/>
  <c r="H16" i="13" a="1"/>
  <c r="H16" i="13" s="1"/>
  <c r="I16" i="13" a="1"/>
  <c r="I16" i="13" s="1"/>
  <c r="J16" i="13" a="1"/>
  <c r="J16" i="13" s="1"/>
  <c r="C14" i="13" a="1"/>
  <c r="C14" i="13" s="1"/>
  <c r="D14" i="13" a="1"/>
  <c r="D14" i="13" s="1"/>
  <c r="E14" i="13" a="1"/>
  <c r="E14" i="13" s="1"/>
  <c r="F14" i="13" a="1"/>
  <c r="F14" i="13" s="1"/>
  <c r="G14" i="13" a="1"/>
  <c r="G14" i="13" s="1"/>
  <c r="H14" i="13" a="1"/>
  <c r="H14" i="13" s="1"/>
  <c r="I14" i="13" a="1"/>
  <c r="I14" i="13" s="1"/>
  <c r="J14" i="13" a="1"/>
  <c r="J14" i="13" s="1"/>
  <c r="C12" i="13"/>
  <c r="D12" i="13"/>
  <c r="E12" i="13"/>
  <c r="F12" i="13"/>
  <c r="G12" i="13"/>
  <c r="H12" i="13"/>
  <c r="I12" i="13"/>
  <c r="J12" i="13"/>
  <c r="B12" i="13"/>
  <c r="L12" i="13"/>
  <c r="N12" i="13"/>
  <c r="P12" i="13"/>
  <c r="R12" i="13"/>
  <c r="B14" i="13" a="1"/>
  <c r="B14" i="13" s="1"/>
  <c r="B16" i="13" s="1" a="1"/>
  <c r="B16" i="13" s="1"/>
  <c r="L14" i="13" a="1"/>
  <c r="L14" i="13" s="1"/>
  <c r="L16" i="13" s="1" a="1"/>
  <c r="L16" i="13" s="1"/>
  <c r="N14" i="13" a="1"/>
  <c r="N14" i="13" s="1"/>
  <c r="N16" i="13" s="1" a="1"/>
  <c r="N16" i="13" s="1"/>
  <c r="P14" i="13" a="1"/>
  <c r="P14" i="13" s="1"/>
  <c r="P16" i="13" s="1" a="1"/>
  <c r="P16" i="13" s="1"/>
  <c r="P22" i="13" s="1" a="1"/>
  <c r="P22" i="13" s="1"/>
  <c r="P24" i="13" s="1" a="1"/>
  <c r="P24" i="13" s="1"/>
  <c r="R14" i="13" a="1"/>
  <c r="R14" i="13" s="1"/>
  <c r="R16" i="13" s="1" a="1"/>
  <c r="R16" i="13" s="1"/>
  <c r="B18" i="13" a="1"/>
  <c r="B18" i="13" s="1"/>
  <c r="B21" i="13" s="1" a="1"/>
  <c r="B21" i="13" s="1"/>
  <c r="L18" i="13" a="1"/>
  <c r="L18" i="13" s="1"/>
  <c r="L19" i="13" s="1" a="1"/>
  <c r="L19" i="13" s="1"/>
  <c r="L21" i="13" s="1" a="1"/>
  <c r="L21" i="13" s="1"/>
  <c r="N18" i="13" a="1"/>
  <c r="N18" i="13" s="1"/>
  <c r="N19" i="13" s="1" a="1"/>
  <c r="N19" i="13" s="1"/>
  <c r="N21" i="13" s="1" a="1"/>
  <c r="N21" i="13" s="1"/>
  <c r="P18" i="13" a="1"/>
  <c r="P18" i="13" s="1"/>
  <c r="P19" i="13" s="1" a="1"/>
  <c r="P19" i="13" s="1"/>
  <c r="P21" i="13" s="1" a="1"/>
  <c r="P21" i="13" s="1"/>
  <c r="R18" i="13" a="1"/>
  <c r="R18" i="13" s="1"/>
  <c r="R19" i="13" s="1" a="1"/>
  <c r="R19" i="13" s="1"/>
  <c r="R21" i="13" s="1" a="1"/>
  <c r="R21" i="13" s="1"/>
  <c r="L23" i="13"/>
  <c r="N23" i="13"/>
  <c r="P23" i="13"/>
  <c r="R23" i="13"/>
  <c r="R36" i="14"/>
  <c r="P36" i="14"/>
  <c r="N36" i="14"/>
  <c r="L36" i="14"/>
  <c r="J36" i="14"/>
  <c r="H36" i="14"/>
  <c r="F36" i="14"/>
  <c r="D36" i="14"/>
  <c r="B36" i="14"/>
  <c r="R35" i="14"/>
  <c r="P35" i="14"/>
  <c r="N35" i="14"/>
  <c r="L35" i="14"/>
  <c r="J35" i="14"/>
  <c r="H35" i="14"/>
  <c r="F35" i="14"/>
  <c r="D35" i="14"/>
  <c r="B35" i="14"/>
  <c r="R34" i="14"/>
  <c r="P34" i="14"/>
  <c r="N34" i="14"/>
  <c r="L34" i="14"/>
  <c r="J34" i="14"/>
  <c r="H34" i="14"/>
  <c r="F34" i="14"/>
  <c r="D34" i="14"/>
  <c r="B34" i="14"/>
  <c r="D33" i="14"/>
  <c r="F33" i="14" s="1"/>
  <c r="H33" i="14" s="1"/>
  <c r="J33" i="14" s="1"/>
  <c r="L33" i="14" s="1"/>
  <c r="N33" i="14" s="1"/>
  <c r="P33" i="14" s="1"/>
  <c r="R33" i="14" s="1"/>
  <c r="R23" i="14"/>
  <c r="P23" i="14"/>
  <c r="N23" i="14"/>
  <c r="L23" i="14"/>
  <c r="J23" i="14"/>
  <c r="H23" i="14"/>
  <c r="F23" i="14"/>
  <c r="D23" i="14"/>
  <c r="B23" i="14"/>
  <c r="R22" i="14"/>
  <c r="P22" i="14"/>
  <c r="N22" i="14"/>
  <c r="L22" i="14"/>
  <c r="J22" i="14"/>
  <c r="H22" i="14"/>
  <c r="F22" i="14"/>
  <c r="D22" i="14"/>
  <c r="B22" i="14"/>
  <c r="R18" i="14" a="1"/>
  <c r="R18" i="14" s="1"/>
  <c r="R19" i="14" s="1" a="1"/>
  <c r="R19" i="14" s="1"/>
  <c r="R20" i="14" s="1"/>
  <c r="P18" i="14" a="1"/>
  <c r="P18" i="14" s="1"/>
  <c r="P19" i="14" s="1" a="1"/>
  <c r="P19" i="14" s="1"/>
  <c r="P20" i="14" s="1"/>
  <c r="N18" i="14" a="1"/>
  <c r="N18" i="14" s="1"/>
  <c r="N19" i="14" s="1" a="1"/>
  <c r="N19" i="14" s="1"/>
  <c r="N20" i="14" s="1"/>
  <c r="L18" i="14" a="1"/>
  <c r="L18" i="14" s="1"/>
  <c r="L19" i="14" s="1" a="1"/>
  <c r="L19" i="14" s="1"/>
  <c r="L20" i="14" s="1"/>
  <c r="J18" i="14" a="1"/>
  <c r="J18" i="14" s="1"/>
  <c r="J19" i="14" s="1" a="1"/>
  <c r="J19" i="14" s="1"/>
  <c r="J20" i="14" s="1"/>
  <c r="H18" i="14" a="1"/>
  <c r="H18" i="14" s="1"/>
  <c r="H19" i="14" s="1" a="1"/>
  <c r="H19" i="14" s="1"/>
  <c r="H20" i="14" s="1"/>
  <c r="F18" i="14" a="1"/>
  <c r="F18" i="14" s="1"/>
  <c r="F19" i="14" s="1" a="1"/>
  <c r="F19" i="14" s="1"/>
  <c r="F20" i="14" s="1"/>
  <c r="D18" i="14" a="1"/>
  <c r="D18" i="14" s="1"/>
  <c r="D19" i="14" s="1" a="1"/>
  <c r="D19" i="14" s="1"/>
  <c r="D20" i="14" s="1"/>
  <c r="B18" i="14" a="1"/>
  <c r="B18" i="14" s="1"/>
  <c r="B19" i="14" s="1" a="1"/>
  <c r="B19" i="14" s="1"/>
  <c r="B20" i="14" s="1"/>
  <c r="Y17" i="14"/>
  <c r="Y16" i="14"/>
  <c r="R16" i="14"/>
  <c r="P16" i="14"/>
  <c r="N16" i="14"/>
  <c r="L16" i="14"/>
  <c r="J16" i="14"/>
  <c r="H16" i="14"/>
  <c r="F16" i="14"/>
  <c r="D16" i="14"/>
  <c r="B16" i="14"/>
  <c r="Y15" i="14"/>
  <c r="Y14" i="14"/>
  <c r="R14" i="14"/>
  <c r="P14" i="14"/>
  <c r="N14" i="14"/>
  <c r="L14" i="14"/>
  <c r="J14" i="14"/>
  <c r="H14" i="14"/>
  <c r="F14" i="14"/>
  <c r="D14" i="14"/>
  <c r="B14" i="14"/>
  <c r="Y13" i="14"/>
  <c r="Y12" i="14"/>
  <c r="R12" i="14"/>
  <c r="P12" i="14"/>
  <c r="N12" i="14"/>
  <c r="L12" i="14"/>
  <c r="J12" i="14"/>
  <c r="H12" i="14"/>
  <c r="F12" i="14"/>
  <c r="D12" i="14"/>
  <c r="B12" i="14"/>
  <c r="Y11" i="14"/>
  <c r="Y10" i="14"/>
  <c r="R10" i="14"/>
  <c r="P10" i="14"/>
  <c r="N10" i="14"/>
  <c r="L10" i="14"/>
  <c r="J10" i="14"/>
  <c r="H10" i="14"/>
  <c r="F10" i="14"/>
  <c r="D10" i="14"/>
  <c r="B10" i="14"/>
  <c r="Y9" i="14"/>
  <c r="Y8" i="14"/>
  <c r="Y7" i="14"/>
  <c r="Y6" i="14"/>
  <c r="Y5" i="14"/>
  <c r="Y4" i="14"/>
  <c r="Y3" i="14"/>
  <c r="R36" i="12"/>
  <c r="P36" i="12"/>
  <c r="N36" i="12"/>
  <c r="L36" i="12"/>
  <c r="J36" i="12"/>
  <c r="H36" i="12"/>
  <c r="F36" i="12"/>
  <c r="D36" i="12"/>
  <c r="B36" i="12"/>
  <c r="R35" i="12"/>
  <c r="P35" i="12"/>
  <c r="N35" i="12"/>
  <c r="L35" i="12"/>
  <c r="J35" i="12"/>
  <c r="H35" i="12"/>
  <c r="F35" i="12"/>
  <c r="D35" i="12"/>
  <c r="B35" i="12"/>
  <c r="R34" i="12"/>
  <c r="P34" i="12"/>
  <c r="N34" i="12"/>
  <c r="L34" i="12"/>
  <c r="J34" i="12"/>
  <c r="H34" i="12"/>
  <c r="F34" i="12"/>
  <c r="D34" i="12"/>
  <c r="B34" i="12"/>
  <c r="D33" i="12"/>
  <c r="F33" i="12" s="1"/>
  <c r="H33" i="12" s="1"/>
  <c r="J33" i="12" s="1"/>
  <c r="L33" i="12" s="1"/>
  <c r="N33" i="12" s="1"/>
  <c r="P33" i="12" s="1"/>
  <c r="R33" i="12" s="1"/>
  <c r="R23" i="12"/>
  <c r="P23" i="12"/>
  <c r="N23" i="12"/>
  <c r="L23" i="12"/>
  <c r="J23" i="12"/>
  <c r="H23" i="12"/>
  <c r="F23" i="12"/>
  <c r="D23" i="12"/>
  <c r="B23" i="12"/>
  <c r="R22" i="12"/>
  <c r="P22" i="12"/>
  <c r="N22" i="12"/>
  <c r="L22" i="12"/>
  <c r="J22" i="12"/>
  <c r="H22" i="12"/>
  <c r="F22" i="12"/>
  <c r="D22" i="12"/>
  <c r="B22" i="12"/>
  <c r="R18" i="12" a="1"/>
  <c r="R18" i="12" s="1"/>
  <c r="R19" i="12" s="1" a="1"/>
  <c r="R19" i="12" s="1"/>
  <c r="R20" i="12" s="1"/>
  <c r="P18" i="12" a="1"/>
  <c r="P18" i="12" s="1"/>
  <c r="P19" i="12" s="1" a="1"/>
  <c r="P19" i="12" s="1"/>
  <c r="P20" i="12" s="1"/>
  <c r="N18" i="12" a="1"/>
  <c r="N18" i="12" s="1"/>
  <c r="N19" i="12" s="1" a="1"/>
  <c r="N19" i="12" s="1"/>
  <c r="N20" i="12" s="1"/>
  <c r="L18" i="12" a="1"/>
  <c r="L18" i="12" s="1"/>
  <c r="L19" i="12" s="1" a="1"/>
  <c r="L19" i="12" s="1"/>
  <c r="L20" i="12" s="1"/>
  <c r="J18" i="12" a="1"/>
  <c r="J18" i="12" s="1"/>
  <c r="J19" i="12" s="1" a="1"/>
  <c r="J19" i="12" s="1"/>
  <c r="J20" i="12" s="1"/>
  <c r="H18" i="12" a="1"/>
  <c r="H18" i="12" s="1"/>
  <c r="H19" i="12" s="1" a="1"/>
  <c r="H19" i="12" s="1"/>
  <c r="H20" i="12" s="1"/>
  <c r="F18" i="12" a="1"/>
  <c r="F18" i="12" s="1"/>
  <c r="F19" i="12" s="1" a="1"/>
  <c r="F19" i="12" s="1"/>
  <c r="F20" i="12" s="1"/>
  <c r="D18" i="12" a="1"/>
  <c r="D18" i="12" s="1"/>
  <c r="D19" i="12" s="1" a="1"/>
  <c r="D19" i="12" s="1"/>
  <c r="D20" i="12" s="1"/>
  <c r="B18" i="12" a="1"/>
  <c r="B18" i="12" s="1"/>
  <c r="B19" i="12" s="1" a="1"/>
  <c r="B19" i="12" s="1"/>
  <c r="B20" i="12" s="1"/>
  <c r="Y17" i="12"/>
  <c r="Y16" i="12"/>
  <c r="R16" i="12"/>
  <c r="P16" i="12"/>
  <c r="N16" i="12"/>
  <c r="L16" i="12"/>
  <c r="J16" i="12"/>
  <c r="H16" i="12"/>
  <c r="F16" i="12"/>
  <c r="D16" i="12"/>
  <c r="B16" i="12"/>
  <c r="Y15" i="12"/>
  <c r="Y14" i="12"/>
  <c r="R14" i="12"/>
  <c r="P14" i="12"/>
  <c r="N14" i="12"/>
  <c r="N12" i="12" s="1"/>
  <c r="N10" i="12" s="1"/>
  <c r="L14" i="12"/>
  <c r="L12" i="12" s="1"/>
  <c r="L10" i="12" s="1"/>
  <c r="J14" i="12"/>
  <c r="J12" i="12" s="1"/>
  <c r="J10" i="12" s="1"/>
  <c r="H14" i="12"/>
  <c r="H12" i="12" s="1"/>
  <c r="H10" i="12" s="1"/>
  <c r="F14" i="12"/>
  <c r="F12" i="12" s="1"/>
  <c r="F10" i="12" s="1"/>
  <c r="D14" i="12"/>
  <c r="D12" i="12" s="1"/>
  <c r="D10" i="12" s="1"/>
  <c r="B14" i="12"/>
  <c r="B12" i="12" s="1"/>
  <c r="B10" i="12" s="1"/>
  <c r="Y13" i="12"/>
  <c r="Y12" i="12"/>
  <c r="R12" i="12"/>
  <c r="R10" i="12" s="1"/>
  <c r="P12" i="12"/>
  <c r="P10" i="12" s="1"/>
  <c r="Y11" i="12"/>
  <c r="Y10" i="12"/>
  <c r="Y9" i="12"/>
  <c r="Y8" i="12"/>
  <c r="Y7" i="12"/>
  <c r="Y6" i="12"/>
  <c r="Y5" i="12"/>
  <c r="Y4" i="12"/>
  <c r="Y3" i="12"/>
  <c r="R36" i="10"/>
  <c r="P36" i="10"/>
  <c r="N36" i="10"/>
  <c r="L36" i="10"/>
  <c r="J36" i="10"/>
  <c r="H36" i="10"/>
  <c r="F36" i="10"/>
  <c r="D36" i="10"/>
  <c r="B36" i="10"/>
  <c r="R35" i="10"/>
  <c r="P35" i="10"/>
  <c r="N35" i="10"/>
  <c r="L35" i="10"/>
  <c r="J35" i="10"/>
  <c r="H35" i="10"/>
  <c r="F35" i="10"/>
  <c r="D35" i="10"/>
  <c r="B35" i="10"/>
  <c r="R34" i="10"/>
  <c r="P34" i="10"/>
  <c r="N34" i="10"/>
  <c r="L34" i="10"/>
  <c r="J34" i="10"/>
  <c r="H34" i="10"/>
  <c r="F34" i="10"/>
  <c r="D34" i="10"/>
  <c r="B34" i="10"/>
  <c r="D33" i="10"/>
  <c r="F33" i="10" s="1"/>
  <c r="H33" i="10" s="1"/>
  <c r="J33" i="10" s="1"/>
  <c r="L33" i="10" s="1"/>
  <c r="N33" i="10" s="1"/>
  <c r="P33" i="10" s="1"/>
  <c r="R33" i="10" s="1"/>
  <c r="R23" i="10"/>
  <c r="P23" i="10"/>
  <c r="N23" i="10"/>
  <c r="L23" i="10"/>
  <c r="J23" i="10"/>
  <c r="H23" i="10"/>
  <c r="F23" i="10"/>
  <c r="D23" i="10"/>
  <c r="B23" i="10"/>
  <c r="R22" i="10"/>
  <c r="P22" i="10"/>
  <c r="N22" i="10"/>
  <c r="L22" i="10"/>
  <c r="J22" i="10"/>
  <c r="H22" i="10"/>
  <c r="F22" i="10"/>
  <c r="D22" i="10"/>
  <c r="B22" i="10"/>
  <c r="R20" i="10"/>
  <c r="P20" i="10"/>
  <c r="N20" i="10"/>
  <c r="L20" i="10"/>
  <c r="J20" i="10"/>
  <c r="H20" i="10"/>
  <c r="F20" i="10"/>
  <c r="D20" i="10"/>
  <c r="B20" i="10"/>
  <c r="R19" i="10" a="1"/>
  <c r="R19" i="10"/>
  <c r="P19" i="10" a="1"/>
  <c r="P19" i="10"/>
  <c r="N19" i="10" a="1"/>
  <c r="N19" i="10"/>
  <c r="L19" i="10" a="1"/>
  <c r="L19" i="10"/>
  <c r="J19" i="10" a="1"/>
  <c r="J19" i="10"/>
  <c r="H19" i="10" a="1"/>
  <c r="H19" i="10"/>
  <c r="F19" i="10" a="1"/>
  <c r="F19" i="10"/>
  <c r="D19" i="10" a="1"/>
  <c r="D19" i="10"/>
  <c r="B19" i="10" a="1"/>
  <c r="B19" i="10"/>
  <c r="R18" i="10" a="1"/>
  <c r="R18" i="10"/>
  <c r="P18" i="10" a="1"/>
  <c r="P18" i="10"/>
  <c r="N18" i="10" a="1"/>
  <c r="N18" i="10"/>
  <c r="L18" i="10" a="1"/>
  <c r="L18" i="10"/>
  <c r="J18" i="10" a="1"/>
  <c r="J18" i="10"/>
  <c r="H18" i="10" a="1"/>
  <c r="H18" i="10"/>
  <c r="F18" i="10" a="1"/>
  <c r="F18" i="10"/>
  <c r="D18" i="10" a="1"/>
  <c r="D18" i="10"/>
  <c r="B18" i="10" a="1"/>
  <c r="B18" i="10"/>
  <c r="Y17" i="10"/>
  <c r="Y16" i="10"/>
  <c r="R16" i="10"/>
  <c r="P16" i="10"/>
  <c r="N16" i="10"/>
  <c r="L16" i="10"/>
  <c r="J16" i="10"/>
  <c r="H16" i="10"/>
  <c r="F16" i="10"/>
  <c r="D16" i="10"/>
  <c r="B16" i="10"/>
  <c r="Y15" i="10"/>
  <c r="Y14" i="10"/>
  <c r="R14" i="10"/>
  <c r="P14" i="10"/>
  <c r="N14" i="10"/>
  <c r="L14" i="10"/>
  <c r="J14" i="10"/>
  <c r="H14" i="10"/>
  <c r="F14" i="10"/>
  <c r="D14" i="10"/>
  <c r="B14" i="10"/>
  <c r="Y13" i="10"/>
  <c r="Y12" i="10"/>
  <c r="R12" i="10"/>
  <c r="P12" i="10"/>
  <c r="N12" i="10"/>
  <c r="L12" i="10"/>
  <c r="J12" i="10"/>
  <c r="H12" i="10"/>
  <c r="F12" i="10"/>
  <c r="D12" i="10"/>
  <c r="B12" i="10"/>
  <c r="Y11" i="10"/>
  <c r="Y10" i="10"/>
  <c r="R10" i="10"/>
  <c r="P10" i="10"/>
  <c r="N10" i="10"/>
  <c r="L10" i="10"/>
  <c r="J10" i="10"/>
  <c r="H10" i="10"/>
  <c r="F10" i="10"/>
  <c r="D10" i="10"/>
  <c r="B10" i="10"/>
  <c r="Y9" i="10"/>
  <c r="Y8" i="10"/>
  <c r="Y7" i="10"/>
  <c r="Y6" i="10"/>
  <c r="Y5" i="10"/>
  <c r="Y4" i="10"/>
  <c r="Y3" i="10"/>
  <c r="R23" i="9"/>
  <c r="P23" i="9"/>
  <c r="N23" i="9"/>
  <c r="L23" i="9"/>
  <c r="J23" i="9"/>
  <c r="H23" i="9"/>
  <c r="F23" i="9"/>
  <c r="D23" i="9"/>
  <c r="B23" i="9"/>
  <c r="R21" i="9" a="1"/>
  <c r="R21" i="9" s="1"/>
  <c r="P21" i="9" a="1"/>
  <c r="P21" i="9" s="1"/>
  <c r="N21" i="9" a="1"/>
  <c r="N21" i="9" s="1"/>
  <c r="L21" i="9" a="1"/>
  <c r="L21" i="9" s="1"/>
  <c r="J21" i="9" a="1"/>
  <c r="J21" i="9" s="1"/>
  <c r="H21" i="9" a="1"/>
  <c r="H21" i="9" s="1"/>
  <c r="F21" i="9" a="1"/>
  <c r="F21" i="9" s="1"/>
  <c r="D21" i="9" a="1"/>
  <c r="D21" i="9"/>
  <c r="B21" i="9" a="1"/>
  <c r="B21" i="9" s="1"/>
  <c r="B22" i="9" s="1" a="1"/>
  <c r="B22" i="9" s="1"/>
  <c r="B24" i="9" s="1" a="1"/>
  <c r="B24" i="9" s="1"/>
  <c r="R19" i="9" a="1"/>
  <c r="R19" i="9"/>
  <c r="P19" i="9" a="1"/>
  <c r="P19" i="9"/>
  <c r="N19" i="9" a="1"/>
  <c r="N19" i="9"/>
  <c r="L19" i="9" a="1"/>
  <c r="L19" i="9"/>
  <c r="J19" i="9" a="1"/>
  <c r="J19" i="9"/>
  <c r="H19" i="9" a="1"/>
  <c r="H19" i="9"/>
  <c r="F19" i="9" a="1"/>
  <c r="F19" i="9"/>
  <c r="D19" i="9" a="1"/>
  <c r="D19" i="9"/>
  <c r="B19" i="9" a="1"/>
  <c r="B19" i="9"/>
  <c r="R18" i="9" a="1"/>
  <c r="R18" i="9"/>
  <c r="P18" i="9" a="1"/>
  <c r="P18" i="9"/>
  <c r="N18" i="9" a="1"/>
  <c r="N18" i="9"/>
  <c r="L18" i="9" a="1"/>
  <c r="L18" i="9"/>
  <c r="J18" i="9" a="1"/>
  <c r="J18" i="9"/>
  <c r="H18" i="9" a="1"/>
  <c r="H18" i="9"/>
  <c r="F18" i="9" a="1"/>
  <c r="F18" i="9"/>
  <c r="D18" i="9" a="1"/>
  <c r="D18" i="9"/>
  <c r="B18" i="9" a="1"/>
  <c r="B18" i="9"/>
  <c r="R14" i="9" a="1"/>
  <c r="R14" i="9" s="1"/>
  <c r="R16" i="9" s="1" a="1"/>
  <c r="R16" i="9" s="1"/>
  <c r="R22" i="9" s="1" a="1"/>
  <c r="R22" i="9" s="1"/>
  <c r="R24" i="9" s="1" a="1"/>
  <c r="R24" i="9" s="1"/>
  <c r="P14" i="9" a="1"/>
  <c r="P14" i="9"/>
  <c r="P16" i="9" s="1" a="1"/>
  <c r="P16" i="9" s="1"/>
  <c r="P22" i="9" s="1" a="1"/>
  <c r="P22" i="9" s="1"/>
  <c r="P24" i="9" s="1" a="1"/>
  <c r="P24" i="9" s="1"/>
  <c r="N14" i="9" a="1"/>
  <c r="N14" i="9" s="1"/>
  <c r="N16" i="9" s="1" a="1"/>
  <c r="N16" i="9" s="1"/>
  <c r="L14" i="9" a="1"/>
  <c r="L14" i="9" s="1"/>
  <c r="L16" i="9" s="1" a="1"/>
  <c r="L16" i="9" s="1"/>
  <c r="L22" i="9" s="1" a="1"/>
  <c r="L22" i="9" s="1"/>
  <c r="L24" i="9" s="1" a="1"/>
  <c r="L24" i="9" s="1"/>
  <c r="J14" i="9" a="1"/>
  <c r="J14" i="9" s="1"/>
  <c r="J16" i="9" s="1" a="1"/>
  <c r="J16" i="9" s="1"/>
  <c r="J22" i="9" s="1" a="1"/>
  <c r="J22" i="9" s="1"/>
  <c r="J24" i="9" s="1" a="1"/>
  <c r="J24" i="9" s="1"/>
  <c r="H14" i="9" a="1"/>
  <c r="H14" i="9" s="1"/>
  <c r="H16" i="9" s="1" a="1"/>
  <c r="H16" i="9" s="1"/>
  <c r="H22" i="9" s="1" a="1"/>
  <c r="H22" i="9" s="1"/>
  <c r="H24" i="9" s="1" a="1"/>
  <c r="H24" i="9" s="1"/>
  <c r="F14" i="9" a="1"/>
  <c r="F14" i="9" s="1"/>
  <c r="F16" i="9" s="1" a="1"/>
  <c r="F16" i="9" s="1"/>
  <c r="F22" i="9" s="1" a="1"/>
  <c r="F22" i="9" s="1"/>
  <c r="F24" i="9" s="1" a="1"/>
  <c r="F24" i="9" s="1"/>
  <c r="D14" i="9" a="1"/>
  <c r="D14" i="9" s="1"/>
  <c r="D16" i="9" s="1" a="1"/>
  <c r="D16" i="9" s="1"/>
  <c r="D22" i="9" s="1" a="1"/>
  <c r="D22" i="9" s="1"/>
  <c r="D24" i="9" s="1" a="1"/>
  <c r="D24" i="9" s="1"/>
  <c r="B14" i="9" a="1"/>
  <c r="B14" i="9" s="1"/>
  <c r="B16" i="9" s="1" a="1"/>
  <c r="B16" i="9" s="1"/>
  <c r="R12" i="9"/>
  <c r="P12" i="9"/>
  <c r="N12" i="9"/>
  <c r="L12" i="9"/>
  <c r="J12" i="9"/>
  <c r="H12" i="9"/>
  <c r="F12" i="9"/>
  <c r="D12" i="9"/>
  <c r="B12" i="9"/>
  <c r="R43" i="7"/>
  <c r="P43" i="7"/>
  <c r="N43" i="7"/>
  <c r="L43" i="7"/>
  <c r="J43" i="7"/>
  <c r="H43" i="7"/>
  <c r="F43" i="7"/>
  <c r="D43" i="7"/>
  <c r="B43" i="7"/>
  <c r="R42" i="7"/>
  <c r="P42" i="7"/>
  <c r="N42" i="7"/>
  <c r="L42" i="7"/>
  <c r="J42" i="7"/>
  <c r="H42" i="7"/>
  <c r="F42" i="7"/>
  <c r="D42" i="7"/>
  <c r="B42" i="7"/>
  <c r="R36" i="7"/>
  <c r="P36" i="7"/>
  <c r="N36" i="7"/>
  <c r="L36" i="7"/>
  <c r="J36" i="7"/>
  <c r="H36" i="7"/>
  <c r="F36" i="7"/>
  <c r="D36" i="7"/>
  <c r="B36" i="7"/>
  <c r="R34" i="7"/>
  <c r="P34" i="7"/>
  <c r="N34" i="7"/>
  <c r="L34" i="7"/>
  <c r="J34" i="7"/>
  <c r="H34" i="7"/>
  <c r="F34" i="7"/>
  <c r="D34" i="7"/>
  <c r="B34" i="7"/>
  <c r="R21" i="7" a="1"/>
  <c r="R21" i="7" s="1"/>
  <c r="P21" i="7" a="1"/>
  <c r="P21" i="7" s="1"/>
  <c r="N21" i="7" a="1"/>
  <c r="N21" i="7" s="1"/>
  <c r="L21" i="7" a="1"/>
  <c r="L21" i="7" s="1"/>
  <c r="J21" i="7" a="1"/>
  <c r="J21" i="7" s="1"/>
  <c r="H21" i="7" a="1"/>
  <c r="H21" i="7" s="1"/>
  <c r="F21" i="7" a="1"/>
  <c r="F21" i="7" s="1"/>
  <c r="D21" i="7" a="1"/>
  <c r="D21" i="7" s="1"/>
  <c r="B21" i="7" a="1"/>
  <c r="B21" i="7" s="1"/>
  <c r="R19" i="7" a="1"/>
  <c r="R19" i="7"/>
  <c r="P19" i="7" a="1"/>
  <c r="P19" i="7"/>
  <c r="N19" i="7" a="1"/>
  <c r="N19" i="7"/>
  <c r="L19" i="7" a="1"/>
  <c r="L19" i="7"/>
  <c r="J19" i="7" a="1"/>
  <c r="J19" i="7"/>
  <c r="H19" i="7" a="1"/>
  <c r="H19" i="7"/>
  <c r="F19" i="7" a="1"/>
  <c r="F19" i="7"/>
  <c r="D19" i="7" a="1"/>
  <c r="D19" i="7"/>
  <c r="B19" i="7" a="1"/>
  <c r="B19" i="7"/>
  <c r="R18" i="7" a="1"/>
  <c r="R18" i="7"/>
  <c r="P18" i="7" a="1"/>
  <c r="P18" i="7"/>
  <c r="N18" i="7" a="1"/>
  <c r="N18" i="7"/>
  <c r="L18" i="7" a="1"/>
  <c r="L18" i="7"/>
  <c r="J18" i="7" a="1"/>
  <c r="J18" i="7"/>
  <c r="H18" i="7" a="1"/>
  <c r="H18" i="7"/>
  <c r="F18" i="7" a="1"/>
  <c r="F18" i="7"/>
  <c r="D18" i="7" a="1"/>
  <c r="D18" i="7"/>
  <c r="B18" i="7" a="1"/>
  <c r="B18" i="7"/>
  <c r="R14" i="7" a="1"/>
  <c r="R14" i="7" s="1"/>
  <c r="R16" i="7" s="1" a="1"/>
  <c r="R16" i="7" s="1"/>
  <c r="P14" i="7" a="1"/>
  <c r="P14" i="7" s="1"/>
  <c r="P16" i="7" s="1" a="1"/>
  <c r="P16" i="7" s="1"/>
  <c r="N14" i="7" a="1"/>
  <c r="N14" i="7" s="1"/>
  <c r="N16" i="7" s="1" a="1"/>
  <c r="N16" i="7" s="1"/>
  <c r="L14" i="7" a="1"/>
  <c r="L14" i="7" s="1"/>
  <c r="L16" i="7" s="1" a="1"/>
  <c r="L16" i="7" s="1"/>
  <c r="J14" i="7" a="1"/>
  <c r="J14" i="7" s="1"/>
  <c r="J16" i="7" s="1" a="1"/>
  <c r="J16" i="7" s="1"/>
  <c r="H14" i="7" a="1"/>
  <c r="H14" i="7" s="1"/>
  <c r="H16" i="7" s="1" a="1"/>
  <c r="H16" i="7" s="1"/>
  <c r="F14" i="7" a="1"/>
  <c r="F14" i="7" s="1"/>
  <c r="F16" i="7" s="1" a="1"/>
  <c r="F16" i="7" s="1"/>
  <c r="D14" i="7" a="1"/>
  <c r="D14" i="7" s="1"/>
  <c r="D16" i="7" s="1" a="1"/>
  <c r="D16" i="7" s="1"/>
  <c r="B14" i="7" a="1"/>
  <c r="B14" i="7" s="1"/>
  <c r="B16" i="7" s="1" a="1"/>
  <c r="B16" i="7" s="1"/>
  <c r="R12" i="7"/>
  <c r="P12" i="7"/>
  <c r="N12" i="7"/>
  <c r="L12" i="7"/>
  <c r="J12" i="7"/>
  <c r="H12" i="7"/>
  <c r="F12" i="7"/>
  <c r="D12" i="7"/>
  <c r="B12" i="7"/>
  <c r="R11" i="7"/>
  <c r="P11" i="7"/>
  <c r="N11" i="7"/>
  <c r="L11" i="7"/>
  <c r="J11" i="7"/>
  <c r="H11" i="7"/>
  <c r="F11" i="7"/>
  <c r="D11" i="7"/>
  <c r="B11" i="7"/>
  <c r="R43" i="5"/>
  <c r="P43" i="5"/>
  <c r="N43" i="5"/>
  <c r="L43" i="5"/>
  <c r="J43" i="5"/>
  <c r="H43" i="5"/>
  <c r="F43" i="5"/>
  <c r="D43" i="5"/>
  <c r="B43" i="5"/>
  <c r="R42" i="5"/>
  <c r="P42" i="5"/>
  <c r="N42" i="5"/>
  <c r="L42" i="5"/>
  <c r="J42" i="5"/>
  <c r="H42" i="5"/>
  <c r="F42" i="5"/>
  <c r="D42" i="5"/>
  <c r="B42" i="5"/>
  <c r="R36" i="5"/>
  <c r="P36" i="5"/>
  <c r="N36" i="5"/>
  <c r="L36" i="5"/>
  <c r="J36" i="5"/>
  <c r="H36" i="5"/>
  <c r="F36" i="5"/>
  <c r="D36" i="5"/>
  <c r="B36" i="5"/>
  <c r="R34" i="5"/>
  <c r="P34" i="5"/>
  <c r="N34" i="5"/>
  <c r="L34" i="5"/>
  <c r="J34" i="5"/>
  <c r="H34" i="5"/>
  <c r="F34" i="5"/>
  <c r="D34" i="5"/>
  <c r="B34" i="5"/>
  <c r="W28" i="5" a="1"/>
  <c r="W28" i="5" s="1"/>
  <c r="W27" i="5"/>
  <c r="R18" i="5" a="1"/>
  <c r="R18" i="5" s="1"/>
  <c r="R19" i="5" s="1" a="1"/>
  <c r="R19" i="5" s="1"/>
  <c r="R21" i="5" s="1" a="1"/>
  <c r="R21" i="5" s="1"/>
  <c r="P18" i="5" a="1"/>
  <c r="P18" i="5" s="1"/>
  <c r="P19" i="5" s="1" a="1"/>
  <c r="P19" i="5" s="1"/>
  <c r="P21" i="5" s="1" a="1"/>
  <c r="P21" i="5" s="1"/>
  <c r="N18" i="5" a="1"/>
  <c r="N18" i="5" s="1"/>
  <c r="N19" i="5" s="1" a="1"/>
  <c r="N19" i="5" s="1"/>
  <c r="N21" i="5" s="1" a="1"/>
  <c r="N21" i="5" s="1"/>
  <c r="L18" i="5" a="1"/>
  <c r="L18" i="5" s="1"/>
  <c r="L19" i="5" s="1" a="1"/>
  <c r="L19" i="5" s="1"/>
  <c r="L21" i="5" s="1" a="1"/>
  <c r="L21" i="5" s="1"/>
  <c r="J18" i="5" a="1"/>
  <c r="J18" i="5" s="1"/>
  <c r="J19" i="5" s="1" a="1"/>
  <c r="J19" i="5" s="1"/>
  <c r="J21" i="5" s="1" a="1"/>
  <c r="J21" i="5" s="1"/>
  <c r="H18" i="5" a="1"/>
  <c r="H18" i="5" s="1"/>
  <c r="H19" i="5" s="1" a="1"/>
  <c r="H19" i="5" s="1"/>
  <c r="H21" i="5" s="1" a="1"/>
  <c r="H21" i="5" s="1"/>
  <c r="F18" i="5" a="1"/>
  <c r="F18" i="5" s="1"/>
  <c r="F19" i="5" s="1" a="1"/>
  <c r="F19" i="5" s="1"/>
  <c r="F21" i="5" s="1" a="1"/>
  <c r="F21" i="5" s="1"/>
  <c r="D18" i="5" a="1"/>
  <c r="D18" i="5"/>
  <c r="D19" i="5" s="1" a="1"/>
  <c r="D19" i="5" s="1"/>
  <c r="D21" i="5" s="1" a="1"/>
  <c r="D21" i="5" s="1"/>
  <c r="B18" i="5" a="1"/>
  <c r="B18" i="5"/>
  <c r="B19" i="5" s="1" a="1"/>
  <c r="B19" i="5" s="1"/>
  <c r="B21" i="5" s="1" a="1"/>
  <c r="B21" i="5" s="1"/>
  <c r="B22" i="5" s="1" a="1"/>
  <c r="B22" i="5" s="1"/>
  <c r="B24" i="5" s="1" a="1"/>
  <c r="B24" i="5" s="1"/>
  <c r="R14" i="5" a="1"/>
  <c r="R14" i="5" s="1"/>
  <c r="R16" i="5" s="1" a="1"/>
  <c r="R16" i="5" s="1"/>
  <c r="R22" i="5" s="1" a="1"/>
  <c r="R22" i="5" s="1"/>
  <c r="R24" i="5" s="1" a="1"/>
  <c r="R24" i="5" s="1"/>
  <c r="P14" i="5" a="1"/>
  <c r="P14" i="5" s="1"/>
  <c r="P16" i="5" s="1" a="1"/>
  <c r="P16" i="5" s="1"/>
  <c r="P22" i="5" s="1" a="1"/>
  <c r="P22" i="5" s="1"/>
  <c r="P24" i="5" s="1" a="1"/>
  <c r="P24" i="5" s="1"/>
  <c r="N14" i="5" a="1"/>
  <c r="N14" i="5" s="1"/>
  <c r="N16" i="5" s="1" a="1"/>
  <c r="N16" i="5" s="1"/>
  <c r="N22" i="5" s="1" a="1"/>
  <c r="N22" i="5" s="1"/>
  <c r="N24" i="5" s="1" a="1"/>
  <c r="N24" i="5" s="1"/>
  <c r="L14" i="5" a="1"/>
  <c r="L14" i="5" s="1"/>
  <c r="L16" i="5" s="1" a="1"/>
  <c r="L16" i="5" s="1"/>
  <c r="L22" i="5" s="1" a="1"/>
  <c r="L22" i="5" s="1"/>
  <c r="L24" i="5" s="1" a="1"/>
  <c r="L24" i="5" s="1"/>
  <c r="J14" i="5" a="1"/>
  <c r="J14" i="5" s="1"/>
  <c r="J16" i="5" s="1" a="1"/>
  <c r="J16" i="5" s="1"/>
  <c r="H14" i="5" a="1"/>
  <c r="H14" i="5" s="1"/>
  <c r="H16" i="5" s="1" a="1"/>
  <c r="H16" i="5" s="1"/>
  <c r="F14" i="5" a="1"/>
  <c r="F14" i="5" s="1"/>
  <c r="F16" i="5" s="1" a="1"/>
  <c r="F16" i="5" s="1"/>
  <c r="D14" i="5" a="1"/>
  <c r="D14" i="5" s="1"/>
  <c r="D16" i="5" s="1" a="1"/>
  <c r="D16" i="5" s="1"/>
  <c r="D22" i="5" s="1" a="1"/>
  <c r="D22" i="5" s="1"/>
  <c r="D24" i="5" s="1" a="1"/>
  <c r="D24" i="5" s="1"/>
  <c r="B14" i="5" a="1"/>
  <c r="B14" i="5"/>
  <c r="B16" i="5" s="1" a="1"/>
  <c r="B16" i="5" s="1"/>
  <c r="R12" i="5"/>
  <c r="P12" i="5"/>
  <c r="N12" i="5"/>
  <c r="L12" i="5"/>
  <c r="J12" i="5"/>
  <c r="H12" i="5"/>
  <c r="F12" i="5"/>
  <c r="D12" i="5"/>
  <c r="B12" i="5"/>
  <c r="R11" i="5"/>
  <c r="P11" i="5"/>
  <c r="N11" i="5"/>
  <c r="L11" i="5"/>
  <c r="J11" i="5"/>
  <c r="H11" i="5"/>
  <c r="F11" i="5"/>
  <c r="D11" i="5"/>
  <c r="B11" i="5"/>
  <c r="R43" i="4"/>
  <c r="P43" i="4"/>
  <c r="N43" i="4"/>
  <c r="L43" i="4"/>
  <c r="J43" i="4"/>
  <c r="H43" i="4"/>
  <c r="F43" i="4"/>
  <c r="D43" i="4"/>
  <c r="B43" i="4"/>
  <c r="R42" i="4"/>
  <c r="P42" i="4"/>
  <c r="N42" i="4"/>
  <c r="L42" i="4"/>
  <c r="J42" i="4"/>
  <c r="H42" i="4"/>
  <c r="F42" i="4"/>
  <c r="D42" i="4"/>
  <c r="B42" i="4"/>
  <c r="R36" i="4"/>
  <c r="P36" i="4"/>
  <c r="N36" i="4"/>
  <c r="L36" i="4"/>
  <c r="J36" i="4"/>
  <c r="H36" i="4"/>
  <c r="F36" i="4"/>
  <c r="D36" i="4"/>
  <c r="B36" i="4"/>
  <c r="R34" i="4"/>
  <c r="P34" i="4"/>
  <c r="N34" i="4"/>
  <c r="L34" i="4"/>
  <c r="J34" i="4"/>
  <c r="H34" i="4"/>
  <c r="F34" i="4"/>
  <c r="D34" i="4"/>
  <c r="B34" i="4"/>
  <c r="W28" i="4" a="1"/>
  <c r="W28" i="4"/>
  <c r="W27" i="4"/>
  <c r="R18" i="4" a="1"/>
  <c r="R18" i="4"/>
  <c r="R19" i="4" s="1"/>
  <c r="R21" i="4" s="1" a="1"/>
  <c r="R21" i="4" s="1"/>
  <c r="P18" i="4" a="1"/>
  <c r="P18" i="4"/>
  <c r="P19" i="4" s="1"/>
  <c r="P21" i="4" s="1" a="1"/>
  <c r="P21" i="4" s="1"/>
  <c r="N18" i="4" a="1"/>
  <c r="N18" i="4"/>
  <c r="N19" i="4" s="1"/>
  <c r="N21" i="4" s="1" a="1"/>
  <c r="N21" i="4" s="1"/>
  <c r="L18" i="4" a="1"/>
  <c r="L18" i="4"/>
  <c r="L19" i="4" s="1"/>
  <c r="L21" i="4" s="1" a="1"/>
  <c r="L21" i="4" s="1"/>
  <c r="J18" i="4" a="1"/>
  <c r="J18" i="4"/>
  <c r="J19" i="4" s="1"/>
  <c r="J21" i="4" s="1" a="1"/>
  <c r="J21" i="4" s="1"/>
  <c r="H18" i="4" a="1"/>
  <c r="H18" i="4"/>
  <c r="H19" i="4" s="1"/>
  <c r="H21" i="4" s="1" a="1"/>
  <c r="H21" i="4" s="1"/>
  <c r="F18" i="4" a="1"/>
  <c r="F18" i="4"/>
  <c r="F19" i="4" s="1"/>
  <c r="F21" i="4" s="1" a="1"/>
  <c r="F21" i="4" s="1"/>
  <c r="D18" i="4" a="1"/>
  <c r="D18" i="4"/>
  <c r="D19" i="4" s="1"/>
  <c r="D21" i="4" s="1" a="1"/>
  <c r="D21" i="4" s="1"/>
  <c r="B18" i="4" a="1"/>
  <c r="B18" i="4"/>
  <c r="B19" i="4" s="1"/>
  <c r="B21" i="4" s="1" a="1"/>
  <c r="B21" i="4" s="1"/>
  <c r="R14" i="4" a="1"/>
  <c r="R14" i="4" s="1"/>
  <c r="R16" i="4" s="1" a="1"/>
  <c r="R16" i="4" s="1"/>
  <c r="R22" i="4" s="1" a="1"/>
  <c r="R22" i="4" s="1"/>
  <c r="R24" i="4" s="1" a="1"/>
  <c r="R24" i="4" s="1"/>
  <c r="P14" i="4" a="1"/>
  <c r="P14" i="4" s="1"/>
  <c r="P16" i="4" s="1" a="1"/>
  <c r="P16" i="4" s="1"/>
  <c r="P22" i="4" s="1" a="1"/>
  <c r="P22" i="4" s="1"/>
  <c r="P24" i="4" s="1" a="1"/>
  <c r="P24" i="4" s="1"/>
  <c r="N14" i="4" a="1"/>
  <c r="N14" i="4" s="1"/>
  <c r="N16" i="4" s="1" a="1"/>
  <c r="N16" i="4" s="1"/>
  <c r="N22" i="4" s="1" a="1"/>
  <c r="N22" i="4" s="1"/>
  <c r="N24" i="4" s="1" a="1"/>
  <c r="N24" i="4" s="1"/>
  <c r="L14" i="4" a="1"/>
  <c r="L14" i="4" s="1"/>
  <c r="L16" i="4" s="1" a="1"/>
  <c r="L16" i="4" s="1"/>
  <c r="L22" i="4" s="1" a="1"/>
  <c r="L22" i="4" s="1"/>
  <c r="L24" i="4" s="1" a="1"/>
  <c r="L24" i="4" s="1"/>
  <c r="J14" i="4" a="1"/>
  <c r="J14" i="4" s="1"/>
  <c r="J16" i="4" s="1" a="1"/>
  <c r="J16" i="4" s="1"/>
  <c r="J22" i="4" s="1" a="1"/>
  <c r="J22" i="4" s="1"/>
  <c r="J24" i="4" s="1" a="1"/>
  <c r="J24" i="4" s="1"/>
  <c r="H14" i="4" a="1"/>
  <c r="H14" i="4" s="1"/>
  <c r="H16" i="4" s="1" a="1"/>
  <c r="H16" i="4" s="1"/>
  <c r="H22" i="4" s="1" a="1"/>
  <c r="H22" i="4" s="1"/>
  <c r="H24" i="4" s="1" a="1"/>
  <c r="H24" i="4" s="1"/>
  <c r="F14" i="4" a="1"/>
  <c r="F14" i="4" s="1"/>
  <c r="F16" i="4" s="1" a="1"/>
  <c r="F16" i="4" s="1"/>
  <c r="F22" i="4" s="1" a="1"/>
  <c r="F22" i="4" s="1"/>
  <c r="F24" i="4" s="1" a="1"/>
  <c r="F24" i="4" s="1"/>
  <c r="D14" i="4" a="1"/>
  <c r="D14" i="4" s="1"/>
  <c r="D16" i="4" s="1" a="1"/>
  <c r="D16" i="4" s="1"/>
  <c r="D22" i="4" s="1" a="1"/>
  <c r="D22" i="4" s="1"/>
  <c r="D24" i="4" s="1" a="1"/>
  <c r="D24" i="4" s="1"/>
  <c r="B14" i="4" a="1"/>
  <c r="B14" i="4" s="1"/>
  <c r="B16" i="4" s="1" a="1"/>
  <c r="B16" i="4" s="1"/>
  <c r="B22" i="4" s="1" a="1"/>
  <c r="B22" i="4" s="1"/>
  <c r="B24" i="4" s="1" a="1"/>
  <c r="B24" i="4" s="1"/>
  <c r="R12" i="4"/>
  <c r="P12" i="4"/>
  <c r="N12" i="4"/>
  <c r="L12" i="4"/>
  <c r="J12" i="4"/>
  <c r="H12" i="4"/>
  <c r="F12" i="4"/>
  <c r="D12" i="4"/>
  <c r="B12" i="4"/>
  <c r="R11" i="4"/>
  <c r="P11" i="4"/>
  <c r="N11" i="4"/>
  <c r="L11" i="4"/>
  <c r="J11" i="4"/>
  <c r="H11" i="4"/>
  <c r="F11" i="4"/>
  <c r="D11" i="4"/>
  <c r="B11" i="4"/>
  <c r="R43" i="8"/>
  <c r="P43" i="8"/>
  <c r="N43" i="8"/>
  <c r="L43" i="8"/>
  <c r="J43" i="8"/>
  <c r="H43" i="8"/>
  <c r="F43" i="8"/>
  <c r="D43" i="8"/>
  <c r="B43" i="8"/>
  <c r="R42" i="8"/>
  <c r="P42" i="8"/>
  <c r="N42" i="8"/>
  <c r="L42" i="8"/>
  <c r="J42" i="8"/>
  <c r="H42" i="8"/>
  <c r="F42" i="8"/>
  <c r="D42" i="8"/>
  <c r="B42" i="8"/>
  <c r="R36" i="8"/>
  <c r="P36" i="8"/>
  <c r="N36" i="8"/>
  <c r="L36" i="8"/>
  <c r="J36" i="8"/>
  <c r="H36" i="8"/>
  <c r="F36" i="8"/>
  <c r="D36" i="8"/>
  <c r="B36" i="8"/>
  <c r="R34" i="8"/>
  <c r="P34" i="8"/>
  <c r="N34" i="8"/>
  <c r="L34" i="8"/>
  <c r="J34" i="8"/>
  <c r="H34" i="8"/>
  <c r="F34" i="8"/>
  <c r="D34" i="8"/>
  <c r="B34" i="8"/>
  <c r="W28" i="8" a="1"/>
  <c r="W28" i="8" s="1"/>
  <c r="W27" i="8"/>
  <c r="R18" i="8" a="1"/>
  <c r="R18" i="8" s="1"/>
  <c r="R21" i="8" s="1" a="1"/>
  <c r="R21" i="8" s="1"/>
  <c r="P18" i="8" a="1"/>
  <c r="P18" i="8" s="1"/>
  <c r="P21" i="8" s="1" a="1"/>
  <c r="P21" i="8" s="1"/>
  <c r="N18" i="8" a="1"/>
  <c r="N18" i="8" s="1"/>
  <c r="N21" i="8" s="1" a="1"/>
  <c r="N21" i="8" s="1"/>
  <c r="L18" i="8" a="1"/>
  <c r="L18" i="8" s="1"/>
  <c r="L21" i="8" s="1" a="1"/>
  <c r="L21" i="8" s="1"/>
  <c r="J18" i="8" a="1"/>
  <c r="J18" i="8" s="1"/>
  <c r="J21" i="8" s="1" a="1"/>
  <c r="J21" i="8" s="1"/>
  <c r="H18" i="8" a="1"/>
  <c r="H18" i="8" s="1"/>
  <c r="H21" i="8" s="1" a="1"/>
  <c r="H21" i="8" s="1"/>
  <c r="F18" i="8" a="1"/>
  <c r="F18" i="8" s="1"/>
  <c r="F21" i="8" s="1" a="1"/>
  <c r="F21" i="8" s="1"/>
  <c r="D18" i="8" a="1"/>
  <c r="D18" i="8" s="1"/>
  <c r="D21" i="8" s="1" a="1"/>
  <c r="D21" i="8" s="1"/>
  <c r="B18" i="8" a="1"/>
  <c r="B18" i="8" s="1"/>
  <c r="B21" i="8" s="1" a="1"/>
  <c r="B21" i="8" s="1"/>
  <c r="D16" i="8" a="1"/>
  <c r="D16" i="8" s="1"/>
  <c r="D22" i="8" s="1" a="1"/>
  <c r="D22" i="8" s="1"/>
  <c r="D24" i="8" s="1" a="1"/>
  <c r="D24" i="8" s="1"/>
  <c r="B16" i="8" a="1"/>
  <c r="B16" i="8" s="1"/>
  <c r="R14" i="8" a="1"/>
  <c r="R14" i="8" s="1"/>
  <c r="R16" i="8" s="1" a="1"/>
  <c r="R16" i="8" s="1"/>
  <c r="P14" i="8" a="1"/>
  <c r="P14" i="8" s="1"/>
  <c r="P16" i="8" s="1" a="1"/>
  <c r="P16" i="8" s="1"/>
  <c r="N14" i="8" a="1"/>
  <c r="N14" i="8" s="1"/>
  <c r="N16" i="8" s="1" a="1"/>
  <c r="N16" i="8" s="1"/>
  <c r="L14" i="8" a="1"/>
  <c r="L14" i="8" s="1"/>
  <c r="L16" i="8" s="1" a="1"/>
  <c r="L16" i="8" s="1"/>
  <c r="J14" i="8" a="1"/>
  <c r="J14" i="8" s="1"/>
  <c r="J16" i="8" s="1" a="1"/>
  <c r="J16" i="8" s="1"/>
  <c r="H14" i="8" a="1"/>
  <c r="H14" i="8" s="1"/>
  <c r="H16" i="8" s="1" a="1"/>
  <c r="H16" i="8" s="1"/>
  <c r="F14" i="8" a="1"/>
  <c r="F14" i="8" s="1"/>
  <c r="F16" i="8" s="1" a="1"/>
  <c r="F16" i="8" s="1"/>
  <c r="D14" i="8" a="1"/>
  <c r="D14" i="8"/>
  <c r="B14" i="8" a="1"/>
  <c r="B14" i="8"/>
  <c r="R12" i="8"/>
  <c r="P12" i="8"/>
  <c r="N12" i="8"/>
  <c r="L12" i="8"/>
  <c r="J12" i="8"/>
  <c r="H12" i="8"/>
  <c r="F12" i="8"/>
  <c r="D12" i="8"/>
  <c r="B12" i="8"/>
  <c r="R11" i="8"/>
  <c r="P11" i="8"/>
  <c r="N11" i="8"/>
  <c r="L11" i="8"/>
  <c r="J11" i="8"/>
  <c r="H11" i="8"/>
  <c r="F11" i="8"/>
  <c r="D11" i="8"/>
  <c r="B11" i="8"/>
  <c r="R43" i="2"/>
  <c r="P43" i="2"/>
  <c r="N43" i="2"/>
  <c r="L43" i="2"/>
  <c r="J43" i="2"/>
  <c r="H43" i="2"/>
  <c r="F43" i="2"/>
  <c r="D43" i="2"/>
  <c r="B43" i="2"/>
  <c r="R42" i="2"/>
  <c r="P42" i="2"/>
  <c r="N42" i="2"/>
  <c r="L42" i="2"/>
  <c r="J42" i="2"/>
  <c r="H42" i="2"/>
  <c r="F42" i="2"/>
  <c r="D42" i="2"/>
  <c r="B42" i="2"/>
  <c r="R36" i="2"/>
  <c r="P36" i="2"/>
  <c r="N36" i="2"/>
  <c r="L36" i="2"/>
  <c r="J36" i="2"/>
  <c r="H36" i="2"/>
  <c r="F36" i="2"/>
  <c r="D36" i="2"/>
  <c r="B36" i="2"/>
  <c r="R34" i="2"/>
  <c r="P34" i="2"/>
  <c r="N34" i="2"/>
  <c r="L34" i="2"/>
  <c r="J34" i="2"/>
  <c r="H34" i="2"/>
  <c r="F34" i="2"/>
  <c r="D34" i="2"/>
  <c r="B34" i="2"/>
  <c r="R24" i="2"/>
  <c r="P24" i="2"/>
  <c r="N24" i="2"/>
  <c r="L24" i="2"/>
  <c r="J24" i="2"/>
  <c r="H24" i="2"/>
  <c r="F24" i="2"/>
  <c r="D24" i="2"/>
  <c r="B24" i="2"/>
  <c r="R22" i="2"/>
  <c r="P22" i="2"/>
  <c r="N22" i="2"/>
  <c r="L22" i="2"/>
  <c r="J22" i="2"/>
  <c r="H22" i="2"/>
  <c r="F22" i="2"/>
  <c r="D22" i="2"/>
  <c r="B22" i="2"/>
  <c r="R21" i="2"/>
  <c r="P21" i="2"/>
  <c r="N21" i="2"/>
  <c r="L21" i="2"/>
  <c r="J21" i="2"/>
  <c r="H21" i="2"/>
  <c r="F21" i="2"/>
  <c r="D21" i="2"/>
  <c r="B21" i="2"/>
  <c r="R16" i="2"/>
  <c r="P16" i="2"/>
  <c r="N16" i="2"/>
  <c r="L16" i="2"/>
  <c r="J16" i="2"/>
  <c r="H16" i="2"/>
  <c r="F16" i="2"/>
  <c r="D16" i="2"/>
  <c r="B16" i="2"/>
  <c r="R14" i="2"/>
  <c r="P14" i="2"/>
  <c r="N14" i="2"/>
  <c r="L14" i="2"/>
  <c r="J14" i="2"/>
  <c r="H14" i="2"/>
  <c r="F14" i="2"/>
  <c r="D14" i="2"/>
  <c r="B14" i="2"/>
  <c r="R12" i="2"/>
  <c r="P12" i="2"/>
  <c r="N12" i="2"/>
  <c r="L12" i="2"/>
  <c r="J12" i="2"/>
  <c r="H12" i="2"/>
  <c r="F12" i="2"/>
  <c r="D12" i="2"/>
  <c r="B12" i="2"/>
  <c r="R11" i="2"/>
  <c r="P11" i="2"/>
  <c r="N11" i="2"/>
  <c r="L11" i="2"/>
  <c r="J11" i="2"/>
  <c r="H11" i="2"/>
  <c r="F11" i="2"/>
  <c r="D11" i="2"/>
  <c r="B11" i="2"/>
  <c r="R43" i="1"/>
  <c r="P43" i="1"/>
  <c r="N43" i="1"/>
  <c r="L43" i="1"/>
  <c r="J43" i="1"/>
  <c r="H43" i="1"/>
  <c r="F43" i="1"/>
  <c r="D43" i="1"/>
  <c r="B43" i="1"/>
  <c r="R42" i="1"/>
  <c r="P42" i="1"/>
  <c r="N42" i="1"/>
  <c r="L42" i="1"/>
  <c r="J42" i="1"/>
  <c r="H42" i="1"/>
  <c r="F42" i="1"/>
  <c r="D42" i="1"/>
  <c r="B42" i="1"/>
  <c r="R36" i="1"/>
  <c r="P36" i="1"/>
  <c r="N36" i="1"/>
  <c r="L36" i="1"/>
  <c r="J36" i="1"/>
  <c r="H36" i="1"/>
  <c r="F36" i="1"/>
  <c r="D36" i="1"/>
  <c r="B36" i="1"/>
  <c r="R34" i="1"/>
  <c r="P34" i="1"/>
  <c r="N34" i="1"/>
  <c r="L34" i="1"/>
  <c r="J34" i="1"/>
  <c r="H34" i="1"/>
  <c r="F34" i="1"/>
  <c r="D34" i="1"/>
  <c r="B34" i="1"/>
  <c r="R24" i="1"/>
  <c r="P24" i="1"/>
  <c r="N24" i="1"/>
  <c r="L24" i="1"/>
  <c r="J24" i="1"/>
  <c r="H24" i="1"/>
  <c r="F24" i="1"/>
  <c r="D24" i="1"/>
  <c r="B24" i="1"/>
  <c r="R22" i="1"/>
  <c r="P22" i="1"/>
  <c r="N22" i="1"/>
  <c r="L22" i="1"/>
  <c r="J22" i="1"/>
  <c r="H22" i="1"/>
  <c r="F22" i="1"/>
  <c r="D22" i="1"/>
  <c r="B22" i="1"/>
  <c r="R21" i="1"/>
  <c r="P21" i="1"/>
  <c r="N21" i="1"/>
  <c r="L21" i="1"/>
  <c r="J21" i="1"/>
  <c r="H21" i="1"/>
  <c r="F21" i="1"/>
  <c r="D21" i="1"/>
  <c r="B21" i="1"/>
  <c r="R16" i="1"/>
  <c r="P16" i="1"/>
  <c r="N16" i="1"/>
  <c r="L16" i="1"/>
  <c r="J16" i="1"/>
  <c r="H16" i="1"/>
  <c r="F16" i="1"/>
  <c r="D16" i="1"/>
  <c r="B16" i="1"/>
  <c r="R14" i="1"/>
  <c r="P14" i="1"/>
  <c r="N14" i="1"/>
  <c r="L14" i="1"/>
  <c r="J14" i="1"/>
  <c r="H14" i="1"/>
  <c r="F14" i="1"/>
  <c r="D14" i="1"/>
  <c r="B14" i="1"/>
  <c r="R12" i="1"/>
  <c r="P12" i="1"/>
  <c r="N12" i="1"/>
  <c r="L12" i="1"/>
  <c r="J12" i="1"/>
  <c r="H12" i="1"/>
  <c r="F12" i="1"/>
  <c r="D12" i="1"/>
  <c r="B12" i="1"/>
  <c r="R11" i="1"/>
  <c r="P11" i="1"/>
  <c r="N11" i="1"/>
  <c r="L11" i="1"/>
  <c r="J11" i="1"/>
  <c r="H11" i="1"/>
  <c r="F11" i="1"/>
  <c r="D11" i="1"/>
  <c r="B11" i="1"/>
  <c r="R10" i="1"/>
  <c r="P10" i="1"/>
  <c r="N10" i="1"/>
  <c r="L10" i="1"/>
  <c r="J10" i="1"/>
  <c r="H10" i="1"/>
  <c r="F10" i="1"/>
  <c r="D10" i="1"/>
  <c r="B10" i="1"/>
  <c r="R23" i="11"/>
  <c r="P23" i="11"/>
  <c r="N23" i="11"/>
  <c r="L23" i="11"/>
  <c r="J23" i="11"/>
  <c r="H23" i="11"/>
  <c r="F23" i="11"/>
  <c r="D23" i="11"/>
  <c r="B23" i="11"/>
  <c r="R21" i="11" a="1"/>
  <c r="R21" i="11" s="1"/>
  <c r="P21" i="11" a="1"/>
  <c r="P21" i="11" s="1"/>
  <c r="N21" i="11" a="1"/>
  <c r="N21" i="11" s="1"/>
  <c r="L21" i="11" a="1"/>
  <c r="L21" i="11" s="1"/>
  <c r="J21" i="11" a="1"/>
  <c r="J21" i="11" s="1"/>
  <c r="H21" i="11" a="1"/>
  <c r="H21" i="11" s="1"/>
  <c r="F21" i="11" a="1"/>
  <c r="F21" i="11" s="1"/>
  <c r="D21" i="11" a="1"/>
  <c r="D21" i="11" s="1"/>
  <c r="B21" i="11" a="1"/>
  <c r="B21" i="11" s="1"/>
  <c r="R19" i="11" a="1"/>
  <c r="R19" i="11"/>
  <c r="P19" i="11" a="1"/>
  <c r="P19" i="11"/>
  <c r="N19" i="11" a="1"/>
  <c r="N19" i="11"/>
  <c r="L19" i="11" a="1"/>
  <c r="L19" i="11"/>
  <c r="J19" i="11" a="1"/>
  <c r="J19" i="11"/>
  <c r="H19" i="11" a="1"/>
  <c r="H19" i="11"/>
  <c r="F19" i="11" a="1"/>
  <c r="F19" i="11"/>
  <c r="D19" i="11" a="1"/>
  <c r="D19" i="11"/>
  <c r="B19" i="11" a="1"/>
  <c r="B19" i="11"/>
  <c r="R18" i="11" a="1"/>
  <c r="R18" i="11"/>
  <c r="P18" i="11" a="1"/>
  <c r="P18" i="11"/>
  <c r="N18" i="11" a="1"/>
  <c r="N18" i="11"/>
  <c r="L18" i="11" a="1"/>
  <c r="L18" i="11"/>
  <c r="J18" i="11" a="1"/>
  <c r="J18" i="11"/>
  <c r="H18" i="11" a="1"/>
  <c r="H18" i="11"/>
  <c r="F18" i="11" a="1"/>
  <c r="F18" i="11"/>
  <c r="D18" i="11" a="1"/>
  <c r="D18" i="11"/>
  <c r="B18" i="11" a="1"/>
  <c r="B18" i="11"/>
  <c r="R14" i="11" a="1"/>
  <c r="R14" i="11" s="1"/>
  <c r="R16" i="11" s="1" a="1"/>
  <c r="R16" i="11" s="1"/>
  <c r="R22" i="11" s="1" a="1"/>
  <c r="R22" i="11" s="1"/>
  <c r="R24" i="11" s="1" a="1"/>
  <c r="R24" i="11" s="1"/>
  <c r="P14" i="11" a="1"/>
  <c r="P14" i="11" s="1"/>
  <c r="P16" i="11" s="1" a="1"/>
  <c r="P16" i="11" s="1"/>
  <c r="P22" i="11" s="1" a="1"/>
  <c r="P22" i="11" s="1"/>
  <c r="P24" i="11" s="1" a="1"/>
  <c r="P24" i="11" s="1"/>
  <c r="N14" i="11" a="1"/>
  <c r="N14" i="11"/>
  <c r="N16" i="11" s="1" a="1"/>
  <c r="N16" i="11" s="1"/>
  <c r="N22" i="11" s="1" a="1"/>
  <c r="N22" i="11" s="1"/>
  <c r="N24" i="11" s="1" a="1"/>
  <c r="N24" i="11" s="1"/>
  <c r="L14" i="11" a="1"/>
  <c r="L14" i="11" s="1"/>
  <c r="L16" i="11" s="1" a="1"/>
  <c r="L16" i="11" s="1"/>
  <c r="L22" i="11" s="1" a="1"/>
  <c r="L22" i="11" s="1"/>
  <c r="L24" i="11" s="1" a="1"/>
  <c r="L24" i="11" s="1"/>
  <c r="J14" i="11" a="1"/>
  <c r="J14" i="11" s="1"/>
  <c r="J16" i="11" s="1" a="1"/>
  <c r="J16" i="11" s="1"/>
  <c r="H14" i="11" a="1"/>
  <c r="H14" i="11" s="1"/>
  <c r="H16" i="11" s="1" a="1"/>
  <c r="H16" i="11" s="1"/>
  <c r="H22" i="11" s="1" a="1"/>
  <c r="H22" i="11" s="1"/>
  <c r="H24" i="11" s="1" a="1"/>
  <c r="H24" i="11" s="1"/>
  <c r="F14" i="11" a="1"/>
  <c r="F14" i="11" s="1"/>
  <c r="F16" i="11" s="1" a="1"/>
  <c r="F16" i="11" s="1"/>
  <c r="F22" i="11" s="1" a="1"/>
  <c r="F22" i="11" s="1"/>
  <c r="F24" i="11" s="1" a="1"/>
  <c r="F24" i="11" s="1"/>
  <c r="D14" i="11" a="1"/>
  <c r="D14" i="11" s="1"/>
  <c r="D16" i="11" s="1" a="1"/>
  <c r="D16" i="11" s="1"/>
  <c r="D22" i="11" s="1" a="1"/>
  <c r="D22" i="11" s="1"/>
  <c r="D24" i="11" s="1" a="1"/>
  <c r="D24" i="11" s="1"/>
  <c r="B14" i="11" a="1"/>
  <c r="B14" i="11" s="1"/>
  <c r="B16" i="11" s="1" a="1"/>
  <c r="B16" i="11" s="1"/>
  <c r="B22" i="11" s="1" a="1"/>
  <c r="B22" i="11" s="1"/>
  <c r="B24" i="11" s="1" a="1"/>
  <c r="B24" i="11" s="1"/>
  <c r="R12" i="11"/>
  <c r="P12" i="11"/>
  <c r="N12" i="11"/>
  <c r="L12" i="11"/>
  <c r="J12" i="11"/>
  <c r="H12" i="11"/>
  <c r="F12" i="11"/>
  <c r="D12" i="11"/>
  <c r="B12" i="11"/>
  <c r="B22" i="13" l="1" a="1"/>
  <c r="B22" i="13" s="1"/>
  <c r="B24" i="13" s="1" a="1"/>
  <c r="B24" i="13" s="1"/>
  <c r="L22" i="13" a="1"/>
  <c r="L22" i="13" s="1"/>
  <c r="L24" i="13" s="1" a="1"/>
  <c r="L24" i="13" s="1"/>
  <c r="N22" i="13" a="1"/>
  <c r="N22" i="13" s="1"/>
  <c r="N24" i="13" s="1" a="1"/>
  <c r="N24" i="13" s="1"/>
  <c r="R22" i="13" a="1"/>
  <c r="R22" i="13" s="1"/>
  <c r="R24" i="13" s="1" a="1"/>
  <c r="R24" i="13" s="1"/>
  <c r="B22" i="8" a="1"/>
  <c r="B22" i="8" s="1"/>
  <c r="B24" i="8" s="1" a="1"/>
  <c r="B24" i="8" s="1"/>
  <c r="R22" i="8" a="1"/>
  <c r="R22" i="8" s="1"/>
  <c r="R24" i="8" s="1" a="1"/>
  <c r="R24" i="8" s="1"/>
  <c r="P22" i="8" a="1"/>
  <c r="P22" i="8" s="1"/>
  <c r="P24" i="8" s="1" a="1"/>
  <c r="P24" i="8" s="1"/>
  <c r="N22" i="8" a="1"/>
  <c r="N22" i="8" s="1"/>
  <c r="N24" i="8" s="1" a="1"/>
  <c r="N24" i="8" s="1"/>
  <c r="L22" i="8" a="1"/>
  <c r="L22" i="8" s="1"/>
  <c r="L24" i="8" s="1" a="1"/>
  <c r="L24" i="8" s="1"/>
  <c r="J22" i="8" a="1"/>
  <c r="J22" i="8" s="1"/>
  <c r="J24" i="8" s="1" a="1"/>
  <c r="J24" i="8" s="1"/>
  <c r="H22" i="8" a="1"/>
  <c r="H22" i="8" s="1"/>
  <c r="H24" i="8" s="1" a="1"/>
  <c r="H24" i="8" s="1"/>
  <c r="F22" i="8" a="1"/>
  <c r="F22" i="8" s="1"/>
  <c r="F24" i="8" s="1" a="1"/>
  <c r="F24" i="8" s="1"/>
  <c r="J22" i="11" a="1"/>
  <c r="J22" i="11" s="1"/>
  <c r="J24" i="11" s="1" a="1"/>
  <c r="J24" i="11" s="1"/>
  <c r="N22" i="9" a="1"/>
  <c r="N22" i="9" s="1"/>
  <c r="N24" i="9" s="1" a="1"/>
  <c r="N24" i="9" s="1"/>
  <c r="R22" i="7" a="1"/>
  <c r="R22" i="7" s="1"/>
  <c r="R24" i="7" s="1" a="1"/>
  <c r="R24" i="7" s="1"/>
  <c r="P22" i="7" a="1"/>
  <c r="P22" i="7" s="1"/>
  <c r="P24" i="7" s="1" a="1"/>
  <c r="P24" i="7" s="1"/>
  <c r="N22" i="7" a="1"/>
  <c r="N22" i="7" s="1"/>
  <c r="N24" i="7" s="1" a="1"/>
  <c r="N24" i="7" s="1"/>
  <c r="L22" i="7" a="1"/>
  <c r="L22" i="7" s="1"/>
  <c r="L24" i="7" s="1" a="1"/>
  <c r="L24" i="7" s="1"/>
  <c r="J22" i="7" a="1"/>
  <c r="J22" i="7" s="1"/>
  <c r="J24" i="7" s="1" a="1"/>
  <c r="J24" i="7" s="1"/>
  <c r="H22" i="7" a="1"/>
  <c r="H22" i="7" s="1"/>
  <c r="H24" i="7" s="1" a="1"/>
  <c r="H24" i="7" s="1"/>
  <c r="F22" i="7" a="1"/>
  <c r="F22" i="7" s="1"/>
  <c r="F24" i="7" s="1" a="1"/>
  <c r="F24" i="7" s="1"/>
  <c r="D22" i="7" a="1"/>
  <c r="D22" i="7" s="1"/>
  <c r="D24" i="7" s="1" a="1"/>
  <c r="D24" i="7" s="1"/>
  <c r="B22" i="7" a="1"/>
  <c r="B22" i="7" s="1"/>
  <c r="B24" i="7" s="1" a="1"/>
  <c r="B24" i="7" s="1"/>
  <c r="J22" i="5" a="1"/>
  <c r="J22" i="5" s="1"/>
  <c r="J24" i="5" s="1" a="1"/>
  <c r="J24" i="5" s="1"/>
  <c r="H22" i="5" a="1"/>
  <c r="H22" i="5" s="1"/>
  <c r="H24" i="5" s="1" a="1"/>
  <c r="H24" i="5" s="1"/>
  <c r="F22" i="5" a="1"/>
  <c r="F22" i="5" s="1"/>
  <c r="F24" i="5" s="1" a="1"/>
  <c r="F24" i="5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<sst xmlns="http://schemas.openxmlformats.org/spreadsheetml/2006/main" count="635" uniqueCount="94">
  <si>
    <t xml:space="preserve">                      余姚市姚州建设工程检测有限公司</t>
  </si>
  <si>
    <t>第  页共  页</t>
  </si>
  <si>
    <t>灌沙法试验记录单</t>
  </si>
  <si>
    <t>环境条件：温度    ℃湿度    ％</t>
  </si>
  <si>
    <t xml:space="preserve"> </t>
  </si>
  <si>
    <r>
      <rPr>
        <sz val="10.5"/>
        <rFont val="Times New Roman"/>
        <family val="1"/>
      </rPr>
      <t xml:space="preserve"> </t>
    </r>
    <r>
      <rPr>
        <sz val="10.5"/>
        <rFont val="宋体"/>
        <charset val="134"/>
      </rPr>
      <t>记录单编号：</t>
    </r>
  </si>
  <si>
    <t>JL／</t>
  </si>
  <si>
    <t>检测地点</t>
  </si>
  <si>
    <t>中国有色金属材料城室外附属工程</t>
  </si>
  <si>
    <t>取样结构部位</t>
  </si>
  <si>
    <t>塘渣层</t>
  </si>
  <si>
    <t>桩号</t>
  </si>
  <si>
    <t>纵二路</t>
  </si>
  <si>
    <t>横五路</t>
  </si>
  <si>
    <t>横四路</t>
  </si>
  <si>
    <t>取样位置(m)</t>
  </si>
  <si>
    <t>K0+120</t>
  </si>
  <si>
    <t>K0+150</t>
  </si>
  <si>
    <t>K0+180</t>
  </si>
  <si>
    <t>K0+020</t>
  </si>
  <si>
    <t>K0+060</t>
  </si>
  <si>
    <t>K0+100</t>
  </si>
  <si>
    <t>K0+030</t>
  </si>
  <si>
    <t>K0+090</t>
  </si>
  <si>
    <t>试验点编号</t>
  </si>
  <si>
    <r>
      <rPr>
        <sz val="10.5"/>
        <rFont val="宋体"/>
        <charset val="134"/>
      </rPr>
      <t>灌砂前砂</t>
    </r>
    <r>
      <rPr>
        <sz val="10.5"/>
        <rFont val="Times New Roman"/>
        <family val="1"/>
      </rPr>
      <t>+</t>
    </r>
    <r>
      <rPr>
        <sz val="10.5"/>
        <rFont val="宋体"/>
        <charset val="134"/>
      </rPr>
      <t>容器质量（</t>
    </r>
    <r>
      <rPr>
        <sz val="10.5"/>
        <rFont val="Times New Roman"/>
        <family val="1"/>
      </rPr>
      <t>g</t>
    </r>
    <r>
      <rPr>
        <sz val="10.5"/>
        <rFont val="宋体"/>
        <charset val="134"/>
      </rPr>
      <t>）</t>
    </r>
  </si>
  <si>
    <r>
      <rPr>
        <sz val="10.5"/>
        <rFont val="宋体"/>
        <charset val="134"/>
      </rPr>
      <t>灌砂后砂</t>
    </r>
    <r>
      <rPr>
        <sz val="10.5"/>
        <rFont val="Times New Roman"/>
        <family val="1"/>
      </rPr>
      <t>+</t>
    </r>
    <r>
      <rPr>
        <sz val="10.5"/>
        <rFont val="宋体"/>
        <charset val="134"/>
      </rPr>
      <t>容器质量（</t>
    </r>
    <r>
      <rPr>
        <sz val="10.5"/>
        <rFont val="Times New Roman"/>
        <family val="1"/>
      </rPr>
      <t>g</t>
    </r>
    <r>
      <rPr>
        <sz val="10.5"/>
        <rFont val="宋体"/>
        <charset val="134"/>
      </rPr>
      <t>）</t>
    </r>
  </si>
  <si>
    <t>灌砂筒下部锥体内及基板和粗糙表面间砂的合计质量（g）</t>
  </si>
  <si>
    <r>
      <rPr>
        <sz val="10.5"/>
        <rFont val="宋体"/>
        <charset val="134"/>
      </rPr>
      <t>试坑灌入量砂质量（</t>
    </r>
    <r>
      <rPr>
        <sz val="10.5"/>
        <rFont val="Times New Roman"/>
        <family val="1"/>
      </rPr>
      <t>g</t>
    </r>
    <r>
      <rPr>
        <sz val="10.5"/>
        <rFont val="宋体"/>
        <charset val="134"/>
      </rPr>
      <t>）</t>
    </r>
  </si>
  <si>
    <r>
      <rPr>
        <sz val="10.5"/>
        <rFont val="宋体"/>
        <charset val="134"/>
      </rPr>
      <t>量砂堆积密度（</t>
    </r>
    <r>
      <rPr>
        <sz val="10.5"/>
        <rFont val="Times New Roman"/>
        <family val="1"/>
      </rPr>
      <t>g/cm</t>
    </r>
    <r>
      <rPr>
        <vertAlign val="superscript"/>
        <sz val="10.5"/>
        <rFont val="Times New Roman"/>
        <family val="1"/>
      </rPr>
      <t>3</t>
    </r>
    <r>
      <rPr>
        <sz val="10.5"/>
        <rFont val="宋体"/>
        <charset val="134"/>
      </rPr>
      <t>）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</si>
  <si>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</si>
  <si>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r>
      <rPr>
        <sz val="10.5"/>
        <rFont val="宋体"/>
        <charset val="134"/>
      </rPr>
      <t>试坑体积（</t>
    </r>
    <r>
      <rPr>
        <sz val="10.5"/>
        <rFont val="Times New Roman"/>
        <family val="1"/>
      </rPr>
      <t>cm</t>
    </r>
    <r>
      <rPr>
        <vertAlign val="superscript"/>
        <sz val="10.5"/>
        <rFont val="Times New Roman"/>
        <family val="1"/>
      </rPr>
      <t>3</t>
    </r>
    <r>
      <rPr>
        <sz val="10.5"/>
        <rFont val="宋体"/>
        <charset val="134"/>
      </rPr>
      <t>）</t>
    </r>
  </si>
  <si>
    <r>
      <rPr>
        <sz val="10.5"/>
        <rFont val="宋体"/>
        <charset val="134"/>
      </rPr>
      <t>试坑中挖出的湿料质量（</t>
    </r>
    <r>
      <rPr>
        <sz val="10.5"/>
        <rFont val="Times New Roman"/>
        <family val="1"/>
      </rPr>
      <t>g</t>
    </r>
    <r>
      <rPr>
        <sz val="10.5"/>
        <rFont val="宋体"/>
        <charset val="134"/>
      </rPr>
      <t>）</t>
    </r>
  </si>
  <si>
    <r>
      <rPr>
        <sz val="10.5"/>
        <rFont val="宋体"/>
        <charset val="134"/>
      </rPr>
      <t>试样湿密度（</t>
    </r>
    <r>
      <rPr>
        <sz val="10.5"/>
        <rFont val="Times New Roman"/>
        <family val="1"/>
      </rPr>
      <t>g/cm</t>
    </r>
    <r>
      <rPr>
        <vertAlign val="superscript"/>
        <sz val="10.5"/>
        <rFont val="Times New Roman"/>
        <family val="1"/>
      </rPr>
      <t>3</t>
    </r>
    <r>
      <rPr>
        <sz val="10.5"/>
        <rFont val="宋体"/>
        <charset val="134"/>
      </rPr>
      <t>）</t>
    </r>
  </si>
  <si>
    <t>盒号</t>
  </si>
  <si>
    <r>
      <rPr>
        <sz val="10.5"/>
        <rFont val="宋体"/>
        <charset val="134"/>
      </rPr>
      <t>盒质量（</t>
    </r>
    <r>
      <rPr>
        <sz val="10.5"/>
        <rFont val="Times New Roman"/>
        <family val="1"/>
      </rPr>
      <t>g</t>
    </r>
    <r>
      <rPr>
        <sz val="10.5"/>
        <rFont val="宋体"/>
        <charset val="134"/>
      </rPr>
      <t>）</t>
    </r>
  </si>
  <si>
    <r>
      <rPr>
        <sz val="10.5"/>
        <rFont val="宋体"/>
        <charset val="134"/>
      </rPr>
      <t>盒</t>
    </r>
    <r>
      <rPr>
        <sz val="10.5"/>
        <rFont val="Times New Roman"/>
        <family val="1"/>
      </rPr>
      <t>+</t>
    </r>
    <r>
      <rPr>
        <sz val="10.5"/>
        <rFont val="宋体"/>
        <charset val="134"/>
      </rPr>
      <t>湿料质量（</t>
    </r>
    <r>
      <rPr>
        <sz val="10.5"/>
        <rFont val="Times New Roman"/>
        <family val="1"/>
      </rPr>
      <t>g</t>
    </r>
    <r>
      <rPr>
        <sz val="10.5"/>
        <rFont val="宋体"/>
        <charset val="134"/>
      </rPr>
      <t>）</t>
    </r>
  </si>
  <si>
    <r>
      <rPr>
        <sz val="10.5"/>
        <rFont val="宋体"/>
        <charset val="134"/>
      </rPr>
      <t>盒</t>
    </r>
    <r>
      <rPr>
        <sz val="10.5"/>
        <rFont val="Times New Roman"/>
        <family val="1"/>
      </rPr>
      <t>+</t>
    </r>
    <r>
      <rPr>
        <sz val="10.5"/>
        <rFont val="宋体"/>
        <charset val="134"/>
      </rPr>
      <t>干料质量（</t>
    </r>
    <r>
      <rPr>
        <sz val="10.5"/>
        <rFont val="Times New Roman"/>
        <family val="1"/>
      </rPr>
      <t>g</t>
    </r>
    <r>
      <rPr>
        <sz val="10.5"/>
        <rFont val="宋体"/>
        <charset val="134"/>
      </rPr>
      <t>）</t>
    </r>
  </si>
  <si>
    <r>
      <rPr>
        <sz val="10.5"/>
        <rFont val="宋体"/>
        <charset val="134"/>
      </rPr>
      <t>水含量（</t>
    </r>
    <r>
      <rPr>
        <sz val="10.5"/>
        <rFont val="Times New Roman"/>
        <family val="1"/>
      </rPr>
      <t>%</t>
    </r>
    <r>
      <rPr>
        <sz val="10.5"/>
        <rFont val="宋体"/>
        <charset val="134"/>
      </rPr>
      <t>）</t>
    </r>
  </si>
  <si>
    <r>
      <rPr>
        <sz val="10.5"/>
        <rFont val="宋体"/>
        <charset val="134"/>
      </rPr>
      <t>干密度（</t>
    </r>
    <r>
      <rPr>
        <sz val="10.5"/>
        <rFont val="Times New Roman"/>
        <family val="1"/>
      </rPr>
      <t>g/cm</t>
    </r>
    <r>
      <rPr>
        <vertAlign val="superscript"/>
        <sz val="10.5"/>
        <rFont val="Times New Roman"/>
        <family val="1"/>
      </rPr>
      <t>3</t>
    </r>
    <r>
      <rPr>
        <sz val="10.5"/>
        <rFont val="宋体"/>
        <charset val="134"/>
      </rPr>
      <t>）</t>
    </r>
  </si>
  <si>
    <r>
      <rPr>
        <sz val="10.5"/>
        <rFont val="宋体"/>
        <charset val="134"/>
      </rPr>
      <t>最大干密度（</t>
    </r>
    <r>
      <rPr>
        <sz val="10.5"/>
        <rFont val="Times New Roman"/>
        <family val="1"/>
      </rPr>
      <t>g/cm</t>
    </r>
    <r>
      <rPr>
        <vertAlign val="superscript"/>
        <sz val="10.5"/>
        <rFont val="Times New Roman"/>
        <family val="1"/>
      </rPr>
      <t>3</t>
    </r>
    <r>
      <rPr>
        <sz val="10.5"/>
        <rFont val="宋体"/>
        <charset val="134"/>
      </rPr>
      <t>）</t>
    </r>
  </si>
  <si>
    <r>
      <rPr>
        <sz val="10.5"/>
        <rFont val="宋体"/>
        <charset val="134"/>
      </rPr>
      <t>压实度（</t>
    </r>
    <r>
      <rPr>
        <sz val="10.5"/>
        <rFont val="Times New Roman"/>
        <family val="1"/>
      </rPr>
      <t>%</t>
    </r>
    <r>
      <rPr>
        <sz val="10.5"/>
        <rFont val="宋体"/>
        <charset val="134"/>
      </rPr>
      <t>）</t>
    </r>
  </si>
  <si>
    <t>仪器设备</t>
  </si>
  <si>
    <t>灌砂筒  电子秤  烘箱  电子天平</t>
  </si>
  <si>
    <t>检测依据</t>
  </si>
  <si>
    <t>《公路路基路面现场测试规程》JTG E60-2008</t>
  </si>
  <si>
    <t>备注</t>
  </si>
  <si>
    <r>
      <rPr>
        <sz val="10.5"/>
        <rFont val="Times New Roman"/>
        <family val="1"/>
      </rPr>
      <t xml:space="preserve"> </t>
    </r>
    <r>
      <rPr>
        <sz val="10.5"/>
        <rFont val="宋体"/>
        <charset val="134"/>
      </rPr>
      <t>复核：</t>
    </r>
    <r>
      <rPr>
        <sz val="10.5"/>
        <rFont val="Times New Roman"/>
        <family val="1"/>
      </rPr>
      <t xml:space="preserve">  </t>
    </r>
  </si>
  <si>
    <r>
      <rPr>
        <sz val="10.5"/>
        <rFont val="Times New Roman"/>
        <family val="1"/>
      </rPr>
      <t xml:space="preserve"> </t>
    </r>
    <r>
      <rPr>
        <sz val="10.5"/>
        <rFont val="宋体"/>
        <charset val="134"/>
      </rPr>
      <t>检测：</t>
    </r>
    <r>
      <rPr>
        <sz val="10.5"/>
        <rFont val="Times New Roman"/>
        <family val="1"/>
      </rPr>
      <t xml:space="preserve"> </t>
    </r>
  </si>
  <si>
    <r>
      <rPr>
        <sz val="10.5"/>
        <rFont val="Times New Roman"/>
        <family val="1"/>
      </rPr>
      <t xml:space="preserve"> </t>
    </r>
    <r>
      <rPr>
        <sz val="10.5"/>
        <rFont val="宋体"/>
        <charset val="134"/>
      </rPr>
      <t>试验日期：</t>
    </r>
  </si>
  <si>
    <t>灌砂法标准用砂量</t>
  </si>
  <si>
    <r>
      <rPr>
        <sz val="10"/>
        <rFont val="宋体"/>
        <charset val="134"/>
      </rPr>
      <t>灌砂前砂</t>
    </r>
    <r>
      <rPr>
        <sz val="10"/>
        <rFont val="Times New Roman"/>
        <family val="1"/>
      </rPr>
      <t>+</t>
    </r>
    <r>
      <rPr>
        <sz val="10"/>
        <rFont val="宋体"/>
        <charset val="134"/>
      </rPr>
      <t>容器质量（</t>
    </r>
    <r>
      <rPr>
        <sz val="10"/>
        <rFont val="Times New Roman"/>
        <family val="1"/>
      </rPr>
      <t>g</t>
    </r>
    <r>
      <rPr>
        <sz val="10"/>
        <rFont val="宋体"/>
        <charset val="134"/>
      </rPr>
      <t>）</t>
    </r>
  </si>
  <si>
    <t>实际灌砂用量(g)</t>
  </si>
  <si>
    <t>砂的差值(g)</t>
  </si>
  <si>
    <r>
      <rPr>
        <sz val="10"/>
        <rFont val="宋体"/>
        <charset val="134"/>
      </rPr>
      <t>灌砂后砂</t>
    </r>
    <r>
      <rPr>
        <sz val="10"/>
        <rFont val="Times New Roman"/>
        <family val="1"/>
      </rPr>
      <t>+</t>
    </r>
    <r>
      <rPr>
        <sz val="10"/>
        <rFont val="宋体"/>
        <charset val="134"/>
      </rPr>
      <t>容器质量（</t>
    </r>
    <r>
      <rPr>
        <sz val="10"/>
        <rFont val="Times New Roman"/>
        <family val="1"/>
      </rPr>
      <t>g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</si>
  <si>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实际灌砂后砂</t>
    </r>
    <r>
      <rPr>
        <sz val="10"/>
        <rFont val="Times New Roman"/>
        <family val="1"/>
      </rPr>
      <t>+</t>
    </r>
    <r>
      <rPr>
        <sz val="10"/>
        <rFont val="宋体"/>
        <charset val="134"/>
      </rPr>
      <t>容器质量（</t>
    </r>
    <r>
      <rPr>
        <sz val="10"/>
        <rFont val="Times New Roman"/>
        <family val="1"/>
      </rPr>
      <t>g</t>
    </r>
    <r>
      <rPr>
        <sz val="10"/>
        <rFont val="宋体"/>
        <charset val="134"/>
      </rPr>
      <t>）</t>
    </r>
  </si>
  <si>
    <t>灌砂前粗糙度标定</t>
  </si>
  <si>
    <r>
      <rPr>
        <sz val="10"/>
        <rFont val="宋体"/>
        <charset val="134"/>
      </rPr>
      <t>灌砂筒下部锥体内砂质量（</t>
    </r>
    <r>
      <rPr>
        <sz val="10"/>
        <rFont val="Times New Roman"/>
        <family val="1"/>
      </rPr>
      <t>g</t>
    </r>
    <r>
      <rPr>
        <sz val="10"/>
        <rFont val="宋体"/>
        <charset val="134"/>
      </rPr>
      <t>）</t>
    </r>
  </si>
  <si>
    <t>消耗量砂(g)</t>
  </si>
  <si>
    <t xml:space="preserve">                                     余姚市姚州建设工程检测有限公司</t>
  </si>
  <si>
    <t>环境条件：温度   ℃湿度   ％</t>
  </si>
  <si>
    <t>JL/</t>
  </si>
  <si>
    <t>取样位置距中(m)</t>
  </si>
  <si>
    <t xml:space="preserve">                                                       </t>
  </si>
  <si>
    <r>
      <rPr>
        <sz val="10.5"/>
        <rFont val="宋体"/>
        <charset val="134"/>
      </rPr>
      <t>实际灌砂后砂</t>
    </r>
    <r>
      <rPr>
        <sz val="10.5"/>
        <rFont val="Times New Roman"/>
        <family val="1"/>
      </rPr>
      <t>+</t>
    </r>
    <r>
      <rPr>
        <sz val="10.5"/>
        <rFont val="宋体"/>
        <charset val="134"/>
      </rPr>
      <t>容器质量（</t>
    </r>
    <r>
      <rPr>
        <sz val="10.5"/>
        <rFont val="Times New Roman"/>
        <family val="1"/>
      </rPr>
      <t>g</t>
    </r>
    <r>
      <rPr>
        <sz val="10.5"/>
        <rFont val="宋体"/>
        <charset val="134"/>
      </rPr>
      <t>）</t>
    </r>
  </si>
  <si>
    <t>最大干密度</t>
  </si>
  <si>
    <t>余姚市老小区天然气管道更新改造工程
-三七市镇圣汐澜山小区</t>
  </si>
  <si>
    <t>管顶</t>
  </si>
  <si>
    <t>管腔右侧</t>
  </si>
  <si>
    <t>管腔左侧</t>
  </si>
  <si>
    <t>取样位置</t>
  </si>
  <si>
    <t>16幢北侧停车位</t>
  </si>
  <si>
    <t>余姚市老小区天然气管道更新改造工程-浦东公寓小区</t>
  </si>
  <si>
    <t>10号楼东侧</t>
  </si>
  <si>
    <t>检测参数</t>
  </si>
  <si>
    <r>
      <t>Y</t>
    </r>
    <r>
      <rPr>
        <sz val="12"/>
        <rFont val="BatangChe"/>
        <family val="3"/>
        <charset val="129"/>
      </rPr>
      <t>₁</t>
    </r>
    <r>
      <rPr>
        <sz val="12"/>
        <rFont val="宋体"/>
        <charset val="134"/>
      </rPr>
      <t>-Y</t>
    </r>
    <r>
      <rPr>
        <sz val="12"/>
        <rFont val="BatangChe"/>
        <family val="3"/>
        <charset val="129"/>
      </rPr>
      <t>₂</t>
    </r>
  </si>
  <si>
    <t>管道胸腔左侧</t>
  </si>
  <si>
    <t>管道胸腔右侧</t>
  </si>
  <si>
    <t>管顶以上50cm</t>
  </si>
  <si>
    <t>灌砂前砂+容器质量(g)</t>
  </si>
  <si>
    <t>灌砂后砂+容器质量(g)</t>
  </si>
  <si>
    <t>灌砂筒下部锥体内及基板和粗糙表面间砂的合计质量(g)</t>
  </si>
  <si>
    <t>试坑灌入量砂质量(g)</t>
  </si>
  <si>
    <t>量砂堆积密度(g/cm³)</t>
  </si>
  <si>
    <t>试坑体积(cm³)</t>
  </si>
  <si>
    <t>试坑中挖出的湿料质量(g)</t>
  </si>
  <si>
    <t>试样湿密度(g/cm³)</t>
  </si>
  <si>
    <t>盒质量(g)</t>
  </si>
  <si>
    <t>盒+湿料质量(g)</t>
  </si>
  <si>
    <t>盒+干料质量(g)</t>
  </si>
  <si>
    <t>含水率(%)</t>
  </si>
  <si>
    <t>干密度(g/cm³)</t>
  </si>
  <si>
    <t>最大干密度(g/cm³)</t>
  </si>
  <si>
    <t>压实度(%)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</si>
</sst>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8" formatCode="0.0000_ "/>
    <numFmt numFmtId="179" formatCode="0.0_ "/>
    <numFmt numFmtId="180" formatCode="0_ "/>
    <numFmt numFmtId="181" formatCode="0.00_ "/>
    <numFmt numFmtId="182" formatCode="0.00_);[Red]\(0.00\)"/>
    <numFmt numFmtId="183" formatCode="0_);[Red]\(0\)"/>
    <numFmt numFmtId="184" formatCode="0.0_);[Red]\(0.0\)"/>
  </numFmts>
  <fonts count="33" x14ac:knownFonts="1">
    <font>
      <sz val="12"/>
      <name val="宋体"/>
      <charset val="134"/>
    </font>
    <font>
      <sz val="12"/>
      <name val="宋体"/>
      <charset val="134"/>
    </font>
    <font>
      <sz val="14"/>
      <name val="宋体"/>
      <charset val="134"/>
    </font>
    <font>
      <sz val="11"/>
      <name val="宋体"/>
      <charset val="134"/>
    </font>
    <font>
      <b/>
      <sz val="18"/>
      <name val="宋体"/>
      <charset val="134"/>
    </font>
    <font>
      <sz val="11"/>
      <color rgb="FF9C6500"/>
      <name val="宋体"/>
      <charset val="134"/>
      <scheme val="minor"/>
    </font>
    <font>
      <sz val="10.5"/>
      <name val="宋体"/>
      <charset val="134"/>
    </font>
    <font>
      <sz val="10.5"/>
      <name val="Times New Roman"/>
      <family val="1"/>
    </font>
    <font>
      <i/>
      <sz val="11"/>
      <color rgb="FF7F7F7F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2"/>
      <color indexed="8"/>
      <name val="宋体"/>
      <charset val="134"/>
    </font>
    <font>
      <b/>
      <sz val="12"/>
      <color indexed="10"/>
      <name val="宋体"/>
      <charset val="134"/>
    </font>
    <font>
      <sz val="12"/>
      <color indexed="53"/>
      <name val="宋体"/>
      <charset val="134"/>
    </font>
    <font>
      <sz val="10"/>
      <name val="宋体"/>
      <charset val="134"/>
    </font>
    <font>
      <sz val="11"/>
      <color rgb="FF9C0006"/>
      <name val="宋体"/>
      <charset val="134"/>
      <scheme val="minor"/>
    </font>
    <font>
      <i/>
      <sz val="11"/>
      <color theme="1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2"/>
      <color indexed="8"/>
      <name val="宋体"/>
      <charset val="134"/>
    </font>
    <font>
      <b/>
      <sz val="12"/>
      <color indexed="17"/>
      <name val="宋体"/>
      <charset val="134"/>
    </font>
    <font>
      <sz val="12"/>
      <color indexed="10"/>
      <name val="宋体"/>
      <charset val="134"/>
    </font>
    <font>
      <b/>
      <sz val="12"/>
      <color indexed="59"/>
      <name val="宋体"/>
      <charset val="134"/>
    </font>
    <font>
      <sz val="12"/>
      <color indexed="59"/>
      <name val="宋体"/>
      <charset val="134"/>
    </font>
    <font>
      <b/>
      <sz val="12"/>
      <color rgb="FF0070C0"/>
      <name val="宋体"/>
      <charset val="134"/>
    </font>
    <font>
      <b/>
      <sz val="10"/>
      <color indexed="59"/>
      <name val="宋体"/>
      <charset val="134"/>
    </font>
    <font>
      <b/>
      <sz val="12"/>
      <color indexed="48"/>
      <name val="宋体"/>
      <charset val="134"/>
    </font>
    <font>
      <b/>
      <sz val="12"/>
      <name val="宋体"/>
      <charset val="134"/>
    </font>
    <font>
      <sz val="10"/>
      <name val="Times New Roman"/>
      <family val="1"/>
    </font>
    <font>
      <vertAlign val="superscript"/>
      <sz val="10.5"/>
      <name val="Times New Roman"/>
      <family val="1"/>
    </font>
    <font>
      <sz val="12"/>
      <name val="BatangChe"/>
      <family val="3"/>
      <charset val="129"/>
    </font>
    <font>
      <sz val="9"/>
      <name val="宋体"/>
      <family val="3"/>
      <charset val="134"/>
    </font>
    <font>
      <sz val="12"/>
      <name val="宋体"/>
      <family val="3"/>
      <charset val="134"/>
    </font>
  </fonts>
  <fills count="10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2F2F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1">
    <xf numFmtId="0" fontId="0" fillId="0" borderId="0">
      <alignment vertical="center"/>
    </xf>
    <xf numFmtId="0" fontId="10" fillId="6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9" fillId="3" borderId="0" applyNumberFormat="0" applyBorder="0" applyAlignment="0" applyProtection="0">
      <alignment vertical="center"/>
    </xf>
    <xf numFmtId="0" fontId="17" fillId="9" borderId="6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</cellStyleXfs>
  <cellXfs count="166">
    <xf numFmtId="0" fontId="0" fillId="0" borderId="0" xfId="0">
      <alignment vertical="center"/>
    </xf>
    <xf numFmtId="178" fontId="1" fillId="0" borderId="0" xfId="6" applyNumberFormat="1">
      <alignment vertical="center"/>
    </xf>
    <xf numFmtId="179" fontId="1" fillId="0" borderId="0" xfId="6" applyNumberFormat="1">
      <alignment vertical="center"/>
    </xf>
    <xf numFmtId="0" fontId="1" fillId="0" borderId="0" xfId="6">
      <alignment vertical="center"/>
    </xf>
    <xf numFmtId="0" fontId="5" fillId="2" borderId="0" xfId="10">
      <alignment vertical="center"/>
    </xf>
    <xf numFmtId="0" fontId="7" fillId="0" borderId="0" xfId="6" applyFont="1">
      <alignment vertical="center"/>
    </xf>
    <xf numFmtId="0" fontId="8" fillId="0" borderId="2" xfId="9" applyBorder="1">
      <alignment vertical="center"/>
    </xf>
    <xf numFmtId="0" fontId="9" fillId="3" borderId="2" xfId="7" applyBorder="1">
      <alignment vertical="center"/>
    </xf>
    <xf numFmtId="0" fontId="10" fillId="4" borderId="2" xfId="4" applyBorder="1">
      <alignment vertical="center"/>
    </xf>
    <xf numFmtId="0" fontId="6" fillId="0" borderId="2" xfId="6" applyFont="1" applyBorder="1" applyAlignment="1">
      <alignment horizontal="center" vertical="center"/>
    </xf>
    <xf numFmtId="0" fontId="14" fillId="0" borderId="2" xfId="6" applyFont="1" applyBorder="1" applyAlignment="1">
      <alignment vertical="center" wrapText="1"/>
    </xf>
    <xf numFmtId="178" fontId="6" fillId="0" borderId="2" xfId="6" applyNumberFormat="1" applyFont="1" applyBorder="1" applyAlignment="1">
      <alignment horizontal="center" vertical="center"/>
    </xf>
    <xf numFmtId="179" fontId="6" fillId="0" borderId="2" xfId="6" applyNumberFormat="1" applyFont="1" applyBorder="1" applyAlignment="1">
      <alignment horizontal="center" vertical="center"/>
    </xf>
    <xf numFmtId="0" fontId="7" fillId="0" borderId="7" xfId="6" applyFont="1" applyBorder="1" applyAlignment="1">
      <alignment horizontal="right" vertical="center"/>
    </xf>
    <xf numFmtId="0" fontId="18" fillId="2" borderId="0" xfId="10" applyFont="1">
      <alignment vertical="center"/>
    </xf>
    <xf numFmtId="0" fontId="5" fillId="2" borderId="2" xfId="10" applyBorder="1">
      <alignment vertical="center"/>
    </xf>
    <xf numFmtId="0" fontId="6" fillId="0" borderId="3" xfId="6" applyFont="1" applyBorder="1" applyAlignment="1">
      <alignment horizontal="center" vertical="center"/>
    </xf>
    <xf numFmtId="178" fontId="0" fillId="0" borderId="0" xfId="0" applyNumberFormat="1">
      <alignment vertical="center"/>
    </xf>
    <xf numFmtId="179" fontId="0" fillId="0" borderId="0" xfId="0" applyNumberFormat="1">
      <alignment vertical="center"/>
    </xf>
    <xf numFmtId="0" fontId="2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6" fillId="0" borderId="2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2" xfId="0" applyFont="1" applyBorder="1" applyAlignment="1">
      <alignment vertical="center" wrapText="1"/>
    </xf>
    <xf numFmtId="178" fontId="6" fillId="0" borderId="2" xfId="0" applyNumberFormat="1" applyFont="1" applyBorder="1" applyAlignment="1">
      <alignment horizontal="center" vertical="center"/>
    </xf>
    <xf numFmtId="181" fontId="22" fillId="0" borderId="5" xfId="0" applyNumberFormat="1" applyFont="1" applyBorder="1">
      <alignment vertical="center"/>
    </xf>
    <xf numFmtId="179" fontId="6" fillId="0" borderId="2" xfId="0" applyNumberFormat="1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7" fillId="0" borderId="7" xfId="0" applyFont="1" applyBorder="1" applyAlignment="1">
      <alignment horizontal="right" vertical="center"/>
    </xf>
    <xf numFmtId="0" fontId="6" fillId="0" borderId="1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8" xfId="0" applyBorder="1">
      <alignment vertical="center"/>
    </xf>
    <xf numFmtId="0" fontId="21" fillId="0" borderId="0" xfId="0" applyFont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vertical="center" wrapText="1"/>
    </xf>
    <xf numFmtId="180" fontId="6" fillId="0" borderId="2" xfId="0" applyNumberFormat="1" applyFont="1" applyBorder="1" applyAlignment="1">
      <alignment horizontal="center" vertical="center"/>
    </xf>
    <xf numFmtId="182" fontId="6" fillId="0" borderId="2" xfId="0" applyNumberFormat="1" applyFont="1" applyBorder="1" applyAlignment="1">
      <alignment horizontal="center" vertical="center"/>
    </xf>
    <xf numFmtId="183" fontId="6" fillId="0" borderId="2" xfId="0" applyNumberFormat="1" applyFont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2" fillId="0" borderId="0" xfId="6" applyFont="1" applyAlignment="1">
      <alignment horizontal="center" vertical="center"/>
    </xf>
    <xf numFmtId="0" fontId="3" fillId="0" borderId="0" xfId="6" applyFont="1" applyAlignment="1">
      <alignment horizontal="center" vertical="center"/>
    </xf>
    <xf numFmtId="0" fontId="4" fillId="0" borderId="0" xfId="6" applyFont="1" applyAlignment="1">
      <alignment horizontal="center" vertical="center"/>
    </xf>
    <xf numFmtId="0" fontId="6" fillId="0" borderId="1" xfId="6" applyFont="1" applyBorder="1" applyAlignment="1">
      <alignment horizontal="center" vertical="center"/>
    </xf>
    <xf numFmtId="0" fontId="7" fillId="0" borderId="1" xfId="6" applyFont="1" applyBorder="1" applyAlignment="1">
      <alignment horizontal="right" vertical="center"/>
    </xf>
    <xf numFmtId="0" fontId="1" fillId="0" borderId="1" xfId="6" applyBorder="1" applyAlignment="1">
      <alignment horizontal="left" vertical="center"/>
    </xf>
    <xf numFmtId="0" fontId="1" fillId="0" borderId="3" xfId="6" applyBorder="1" applyAlignment="1">
      <alignment horizontal="center" vertical="center" wrapText="1"/>
    </xf>
    <xf numFmtId="0" fontId="1" fillId="0" borderId="4" xfId="6" applyBorder="1" applyAlignment="1">
      <alignment horizontal="center" vertical="center"/>
    </xf>
    <xf numFmtId="0" fontId="1" fillId="0" borderId="5" xfId="6" applyBorder="1" applyAlignment="1">
      <alignment horizontal="center" vertical="center"/>
    </xf>
    <xf numFmtId="0" fontId="1" fillId="0" borderId="8" xfId="6" applyBorder="1" applyAlignment="1">
      <alignment horizontal="center" vertical="center"/>
    </xf>
    <xf numFmtId="0" fontId="1" fillId="0" borderId="7" xfId="6" applyBorder="1" applyAlignment="1">
      <alignment horizontal="center" vertical="center"/>
    </xf>
    <xf numFmtId="0" fontId="19" fillId="0" borderId="3" xfId="6" applyFont="1" applyBorder="1" applyAlignment="1">
      <alignment horizontal="center" vertical="center"/>
    </xf>
    <xf numFmtId="0" fontId="19" fillId="0" borderId="4" xfId="6" applyFont="1" applyBorder="1" applyAlignment="1">
      <alignment horizontal="center" vertical="center"/>
    </xf>
    <xf numFmtId="0" fontId="19" fillId="0" borderId="5" xfId="6" applyFont="1" applyBorder="1" applyAlignment="1">
      <alignment horizontal="center" vertical="center"/>
    </xf>
    <xf numFmtId="0" fontId="1" fillId="0" borderId="3" xfId="6" applyBorder="1" applyAlignment="1">
      <alignment horizontal="center" vertical="center"/>
    </xf>
    <xf numFmtId="0" fontId="19" fillId="0" borderId="9" xfId="6" applyFont="1" applyBorder="1" applyAlignment="1">
      <alignment horizontal="center" vertical="center"/>
    </xf>
    <xf numFmtId="0" fontId="19" fillId="0" borderId="1" xfId="6" applyFont="1" applyBorder="1" applyAlignment="1">
      <alignment horizontal="center" vertical="center"/>
    </xf>
    <xf numFmtId="0" fontId="19" fillId="0" borderId="10" xfId="6" applyFont="1" applyBorder="1" applyAlignment="1">
      <alignment horizontal="center" vertical="center"/>
    </xf>
    <xf numFmtId="0" fontId="11" fillId="0" borderId="2" xfId="6" applyFont="1" applyBorder="1" applyAlignment="1">
      <alignment horizontal="center" vertical="center"/>
    </xf>
    <xf numFmtId="0" fontId="11" fillId="0" borderId="3" xfId="6" applyFont="1" applyBorder="1" applyAlignment="1">
      <alignment horizontal="center" vertical="center"/>
    </xf>
    <xf numFmtId="0" fontId="11" fillId="0" borderId="5" xfId="6" applyFont="1" applyBorder="1" applyAlignment="1">
      <alignment horizontal="center" vertical="center"/>
    </xf>
    <xf numFmtId="0" fontId="12" fillId="0" borderId="3" xfId="6" applyFont="1" applyBorder="1" applyAlignment="1">
      <alignment horizontal="center" vertical="center"/>
    </xf>
    <xf numFmtId="0" fontId="12" fillId="0" borderId="5" xfId="6" applyFont="1" applyBorder="1" applyAlignment="1">
      <alignment horizontal="center" vertical="center"/>
    </xf>
    <xf numFmtId="0" fontId="13" fillId="0" borderId="3" xfId="6" applyFont="1" applyBorder="1" applyAlignment="1">
      <alignment horizontal="center" vertical="center"/>
    </xf>
    <xf numFmtId="0" fontId="13" fillId="0" borderId="5" xfId="6" applyFont="1" applyBorder="1" applyAlignment="1">
      <alignment horizontal="center" vertical="center"/>
    </xf>
    <xf numFmtId="180" fontId="9" fillId="3" borderId="3" xfId="7" applyNumberFormat="1" applyBorder="1" applyAlignment="1">
      <alignment horizontal="center" vertical="center"/>
    </xf>
    <xf numFmtId="180" fontId="9" fillId="3" borderId="5" xfId="7" applyNumberFormat="1" applyBorder="1" applyAlignment="1">
      <alignment horizontal="center" vertical="center"/>
    </xf>
    <xf numFmtId="180" fontId="5" fillId="2" borderId="2" xfId="10" applyNumberFormat="1" applyBorder="1" applyAlignment="1">
      <alignment horizontal="center" vertical="center"/>
    </xf>
    <xf numFmtId="0" fontId="5" fillId="2" borderId="2" xfId="10" applyBorder="1" applyAlignment="1">
      <alignment horizontal="center" vertical="center"/>
    </xf>
    <xf numFmtId="180" fontId="5" fillId="2" borderId="2" xfId="10" applyNumberFormat="1" applyBorder="1" applyAlignment="1">
      <alignment horizontal="center" vertical="center" wrapText="1"/>
    </xf>
    <xf numFmtId="180" fontId="9" fillId="3" borderId="2" xfId="7" applyNumberFormat="1" applyBorder="1" applyAlignment="1">
      <alignment horizontal="center" vertical="center"/>
    </xf>
    <xf numFmtId="181" fontId="5" fillId="2" borderId="2" xfId="10" applyNumberFormat="1" applyBorder="1" applyAlignment="1">
      <alignment horizontal="center" vertical="center"/>
    </xf>
    <xf numFmtId="180" fontId="5" fillId="2" borderId="3" xfId="10" applyNumberFormat="1" applyBorder="1" applyAlignment="1">
      <alignment horizontal="center" vertical="center"/>
    </xf>
    <xf numFmtId="180" fontId="5" fillId="2" borderId="5" xfId="10" applyNumberFormat="1" applyBorder="1" applyAlignment="1">
      <alignment horizontal="center" vertical="center"/>
    </xf>
    <xf numFmtId="179" fontId="5" fillId="2" borderId="3" xfId="10" applyNumberFormat="1" applyBorder="1" applyAlignment="1">
      <alignment horizontal="center" vertical="center"/>
    </xf>
    <xf numFmtId="179" fontId="5" fillId="2" borderId="5" xfId="10" applyNumberFormat="1" applyBorder="1" applyAlignment="1">
      <alignment horizontal="center" vertical="center"/>
    </xf>
    <xf numFmtId="181" fontId="17" fillId="9" borderId="6" xfId="8" applyNumberFormat="1" applyAlignment="1">
      <alignment horizontal="center" vertical="center"/>
    </xf>
    <xf numFmtId="179" fontId="5" fillId="2" borderId="2" xfId="10" applyNumberFormat="1" applyBorder="1" applyAlignment="1">
      <alignment horizontal="center" vertical="center"/>
    </xf>
    <xf numFmtId="0" fontId="7" fillId="0" borderId="7" xfId="6" applyFont="1" applyBorder="1" applyAlignment="1">
      <alignment horizontal="right" vertical="center"/>
    </xf>
    <xf numFmtId="0" fontId="14" fillId="0" borderId="0" xfId="6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180" fontId="21" fillId="0" borderId="2" xfId="0" applyNumberFormat="1" applyFont="1" applyBorder="1" applyAlignment="1">
      <alignment horizontal="center" vertical="center"/>
    </xf>
    <xf numFmtId="181" fontId="21" fillId="0" borderId="2" xfId="0" applyNumberFormat="1" applyFont="1" applyBorder="1" applyAlignment="1">
      <alignment horizontal="center" vertical="center"/>
    </xf>
    <xf numFmtId="179" fontId="21" fillId="0" borderId="3" xfId="0" applyNumberFormat="1" applyFont="1" applyBorder="1" applyAlignment="1">
      <alignment horizontal="center" vertical="center"/>
    </xf>
    <xf numFmtId="179" fontId="21" fillId="0" borderId="5" xfId="0" applyNumberFormat="1" applyFont="1" applyBorder="1" applyAlignment="1">
      <alignment horizontal="center" vertical="center"/>
    </xf>
    <xf numFmtId="182" fontId="21" fillId="0" borderId="2" xfId="0" applyNumberFormat="1" applyFont="1" applyBorder="1" applyAlignment="1">
      <alignment horizontal="center" vertical="center"/>
    </xf>
    <xf numFmtId="181" fontId="0" fillId="0" borderId="2" xfId="0" applyNumberFormat="1" applyBorder="1" applyAlignment="1">
      <alignment horizontal="center" vertical="center"/>
    </xf>
    <xf numFmtId="184" fontId="21" fillId="0" borderId="2" xfId="0" applyNumberFormat="1" applyFont="1" applyBorder="1" applyAlignment="1">
      <alignment horizontal="center" vertical="center"/>
    </xf>
    <xf numFmtId="0" fontId="7" fillId="0" borderId="7" xfId="0" applyFont="1" applyBorder="1" applyAlignment="1">
      <alignment horizontal="right" vertical="center"/>
    </xf>
    <xf numFmtId="0" fontId="11" fillId="0" borderId="3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178" fontId="20" fillId="0" borderId="2" xfId="0" applyNumberFormat="1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178" fontId="20" fillId="0" borderId="3" xfId="0" applyNumberFormat="1" applyFont="1" applyBorder="1" applyAlignment="1">
      <alignment horizontal="center" vertical="center"/>
    </xf>
    <xf numFmtId="178" fontId="20" fillId="0" borderId="5" xfId="0" applyNumberFormat="1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178" fontId="21" fillId="0" borderId="2" xfId="0" applyNumberFormat="1" applyFont="1" applyBorder="1" applyAlignment="1">
      <alignment horizontal="center" vertical="center"/>
    </xf>
    <xf numFmtId="178" fontId="22" fillId="0" borderId="2" xfId="0" applyNumberFormat="1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178" fontId="12" fillId="0" borderId="2" xfId="0" applyNumberFormat="1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180" fontId="22" fillId="0" borderId="2" xfId="0" applyNumberFormat="1" applyFont="1" applyBorder="1" applyAlignment="1">
      <alignment horizontal="center" vertical="center"/>
    </xf>
    <xf numFmtId="181" fontId="22" fillId="0" borderId="2" xfId="0" applyNumberFormat="1" applyFont="1" applyBorder="1" applyAlignment="1">
      <alignment horizontal="center" vertical="center"/>
    </xf>
    <xf numFmtId="178" fontId="23" fillId="0" borderId="3" xfId="0" applyNumberFormat="1" applyFont="1" applyBorder="1" applyAlignment="1">
      <alignment horizontal="center" vertical="center"/>
    </xf>
    <xf numFmtId="178" fontId="23" fillId="0" borderId="5" xfId="0" applyNumberFormat="1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178" fontId="22" fillId="0" borderId="3" xfId="0" applyNumberFormat="1" applyFont="1" applyBorder="1" applyAlignment="1">
      <alignment horizontal="center" vertical="center"/>
    </xf>
    <xf numFmtId="178" fontId="22" fillId="0" borderId="5" xfId="0" applyNumberFormat="1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180" fontId="22" fillId="0" borderId="3" xfId="0" applyNumberFormat="1" applyFont="1" applyBorder="1" applyAlignment="1">
      <alignment horizontal="center" vertical="center"/>
    </xf>
    <xf numFmtId="180" fontId="22" fillId="0" borderId="5" xfId="0" applyNumberFormat="1" applyFont="1" applyBorder="1" applyAlignment="1">
      <alignment horizontal="center" vertical="center"/>
    </xf>
    <xf numFmtId="180" fontId="20" fillId="0" borderId="3" xfId="0" applyNumberFormat="1" applyFont="1" applyBorder="1" applyAlignment="1">
      <alignment horizontal="center" vertical="center"/>
    </xf>
    <xf numFmtId="180" fontId="20" fillId="0" borderId="5" xfId="0" applyNumberFormat="1" applyFont="1" applyBorder="1" applyAlignment="1">
      <alignment horizontal="center" vertical="center"/>
    </xf>
    <xf numFmtId="178" fontId="26" fillId="0" borderId="2" xfId="0" applyNumberFormat="1" applyFont="1" applyBorder="1" applyAlignment="1">
      <alignment horizontal="center" vertical="center"/>
    </xf>
    <xf numFmtId="182" fontId="26" fillId="0" borderId="2" xfId="0" applyNumberFormat="1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5" xfId="0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180" fontId="20" fillId="0" borderId="2" xfId="0" applyNumberFormat="1" applyFont="1" applyBorder="1" applyAlignment="1">
      <alignment horizontal="center" vertical="center"/>
    </xf>
    <xf numFmtId="180" fontId="22" fillId="0" borderId="2" xfId="0" applyNumberFormat="1" applyFont="1" applyBorder="1" applyAlignment="1">
      <alignment horizontal="center" vertical="center" wrapText="1"/>
    </xf>
    <xf numFmtId="180" fontId="23" fillId="0" borderId="3" xfId="0" applyNumberFormat="1" applyFont="1" applyBorder="1" applyAlignment="1">
      <alignment horizontal="center" vertical="center"/>
    </xf>
    <xf numFmtId="180" fontId="23" fillId="0" borderId="5" xfId="0" applyNumberFormat="1" applyFont="1" applyBorder="1" applyAlignment="1">
      <alignment horizontal="center" vertical="center"/>
    </xf>
    <xf numFmtId="180" fontId="24" fillId="0" borderId="3" xfId="0" applyNumberFormat="1" applyFont="1" applyBorder="1" applyAlignment="1">
      <alignment horizontal="center" vertical="center"/>
    </xf>
    <xf numFmtId="180" fontId="24" fillId="0" borderId="5" xfId="0" applyNumberFormat="1" applyFont="1" applyBorder="1" applyAlignment="1">
      <alignment horizontal="center" vertical="center"/>
    </xf>
    <xf numFmtId="179" fontId="22" fillId="0" borderId="3" xfId="0" applyNumberFormat="1" applyFont="1" applyBorder="1" applyAlignment="1">
      <alignment horizontal="center" vertical="center"/>
    </xf>
    <xf numFmtId="179" fontId="22" fillId="0" borderId="5" xfId="0" applyNumberFormat="1" applyFont="1" applyBorder="1" applyAlignment="1">
      <alignment horizontal="center" vertical="center"/>
    </xf>
    <xf numFmtId="181" fontId="26" fillId="0" borderId="2" xfId="0" applyNumberFormat="1" applyFont="1" applyBorder="1" applyAlignment="1">
      <alignment horizontal="center" vertical="center"/>
    </xf>
    <xf numFmtId="179" fontId="22" fillId="0" borderId="2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181" fontId="25" fillId="0" borderId="7" xfId="0" applyNumberFormat="1" applyFont="1" applyBorder="1">
      <alignment vertical="center"/>
    </xf>
    <xf numFmtId="181" fontId="25" fillId="0" borderId="0" xfId="0" applyNumberFormat="1" applyFont="1">
      <alignment vertical="center"/>
    </xf>
    <xf numFmtId="180" fontId="8" fillId="0" borderId="3" xfId="9" applyNumberFormat="1" applyBorder="1" applyAlignment="1">
      <alignment horizontal="center" vertical="center"/>
    </xf>
    <xf numFmtId="180" fontId="8" fillId="0" borderId="5" xfId="9" applyNumberFormat="1" applyBorder="1" applyAlignment="1">
      <alignment horizontal="center" vertical="center"/>
    </xf>
    <xf numFmtId="180" fontId="8" fillId="0" borderId="2" xfId="9" applyNumberFormat="1" applyBorder="1" applyAlignment="1">
      <alignment horizontal="center" vertical="center"/>
    </xf>
    <xf numFmtId="0" fontId="8" fillId="0" borderId="2" xfId="9" applyBorder="1" applyAlignment="1">
      <alignment horizontal="center" vertical="center"/>
    </xf>
    <xf numFmtId="180" fontId="8" fillId="0" borderId="2" xfId="9" applyNumberFormat="1" applyBorder="1" applyAlignment="1">
      <alignment horizontal="center" vertical="center" wrapText="1"/>
    </xf>
    <xf numFmtId="180" fontId="10" fillId="5" borderId="2" xfId="2" applyNumberFormat="1" applyBorder="1" applyAlignment="1">
      <alignment horizontal="center" vertical="center"/>
    </xf>
    <xf numFmtId="181" fontId="8" fillId="0" borderId="2" xfId="9" applyNumberFormat="1" applyBorder="1" applyAlignment="1">
      <alignment horizontal="center" vertical="center"/>
    </xf>
    <xf numFmtId="180" fontId="10" fillId="6" borderId="3" xfId="1" applyNumberFormat="1" applyBorder="1" applyAlignment="1">
      <alignment horizontal="center" vertical="center"/>
    </xf>
    <xf numFmtId="180" fontId="10" fillId="6" borderId="5" xfId="1" applyNumberFormat="1" applyBorder="1" applyAlignment="1">
      <alignment horizontal="center" vertical="center"/>
    </xf>
    <xf numFmtId="180" fontId="15" fillId="7" borderId="3" xfId="5" applyNumberFormat="1" applyBorder="1" applyAlignment="1">
      <alignment horizontal="center" vertical="center"/>
    </xf>
    <xf numFmtId="180" fontId="15" fillId="7" borderId="5" xfId="5" applyNumberFormat="1" applyBorder="1" applyAlignment="1">
      <alignment horizontal="center" vertical="center"/>
    </xf>
    <xf numFmtId="179" fontId="16" fillId="8" borderId="3" xfId="3" applyNumberFormat="1" applyFont="1" applyBorder="1" applyAlignment="1">
      <alignment horizontal="center" vertical="center"/>
    </xf>
    <xf numFmtId="179" fontId="16" fillId="8" borderId="5" xfId="3" applyNumberFormat="1" applyFont="1" applyBorder="1" applyAlignment="1">
      <alignment horizontal="center" vertical="center"/>
    </xf>
    <xf numFmtId="179" fontId="10" fillId="8" borderId="3" xfId="3" applyNumberFormat="1" applyBorder="1" applyAlignment="1">
      <alignment horizontal="center" vertical="center"/>
    </xf>
    <xf numFmtId="179" fontId="10" fillId="8" borderId="5" xfId="3" applyNumberFormat="1" applyBorder="1" applyAlignment="1">
      <alignment horizontal="center" vertical="center"/>
    </xf>
    <xf numFmtId="0" fontId="32" fillId="0" borderId="0" xfId="0" applyFont="1">
      <alignment vertical="center"/>
    </xf>
  </cellXfs>
  <cellStyles count="11">
    <cellStyle name="20% - 着色 6 2" xfId="1" xr:uid="{00000000-0005-0000-0000-000031000000}"/>
    <cellStyle name="40% - 着色 1 2" xfId="2" xr:uid="{00000000-0005-0000-0000-000032000000}"/>
    <cellStyle name="40% - 着色 4 2" xfId="3" xr:uid="{00000000-0005-0000-0000-000033000000}"/>
    <cellStyle name="40% - 着色 5 2" xfId="4" xr:uid="{00000000-0005-0000-0000-000034000000}"/>
    <cellStyle name="差 2" xfId="5" xr:uid="{00000000-0005-0000-0000-000035000000}"/>
    <cellStyle name="常规" xfId="0" builtinId="0"/>
    <cellStyle name="常规 2" xfId="6" xr:uid="{00000000-0005-0000-0000-000036000000}"/>
    <cellStyle name="好 2" xfId="7" xr:uid="{00000000-0005-0000-0000-000037000000}"/>
    <cellStyle name="计算 2" xfId="8" xr:uid="{00000000-0005-0000-0000-000038000000}"/>
    <cellStyle name="解释性文本 2" xfId="9" xr:uid="{00000000-0005-0000-0000-000039000000}"/>
    <cellStyle name="适中 2" xfId="10" xr:uid="{00000000-0005-0000-0000-00003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T43"/>
  <sheetViews>
    <sheetView workbookViewId="0">
      <selection activeCell="B23" sqref="B23:C23"/>
    </sheetView>
  </sheetViews>
  <sheetFormatPr defaultColWidth="9" defaultRowHeight="15" x14ac:dyDescent="0.25"/>
  <cols>
    <col min="1" max="1" width="25.25" customWidth="1"/>
    <col min="2" max="19" width="5.58203125" customWidth="1"/>
  </cols>
  <sheetData>
    <row r="1" spans="1:20" ht="17.5" x14ac:dyDescent="0.25">
      <c r="A1" s="79" t="s">
        <v>0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19"/>
      <c r="O1" s="19"/>
      <c r="P1" s="80" t="s">
        <v>1</v>
      </c>
      <c r="Q1" s="80"/>
      <c r="R1" s="80"/>
      <c r="S1" s="80"/>
    </row>
    <row r="2" spans="1:20" ht="23" x14ac:dyDescent="0.25">
      <c r="A2" s="81" t="s">
        <v>2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</row>
    <row r="3" spans="1:20" x14ac:dyDescent="0.25">
      <c r="A3" s="82" t="s">
        <v>3</v>
      </c>
      <c r="B3" s="82"/>
      <c r="C3" s="82"/>
      <c r="D3" s="82"/>
      <c r="E3" s="82"/>
      <c r="F3" s="82"/>
      <c r="G3" s="82"/>
      <c r="H3" s="20" t="s">
        <v>4</v>
      </c>
      <c r="J3" s="83" t="s">
        <v>5</v>
      </c>
      <c r="K3" s="83"/>
      <c r="L3" s="83"/>
      <c r="M3" s="84" t="s">
        <v>6</v>
      </c>
      <c r="N3" s="84"/>
      <c r="O3" s="84"/>
      <c r="P3" s="84"/>
      <c r="Q3" s="84"/>
      <c r="R3" s="84"/>
      <c r="S3" s="84"/>
    </row>
    <row r="4" spans="1:20" ht="18" customHeight="1" x14ac:dyDescent="0.25">
      <c r="A4" s="21" t="s">
        <v>7</v>
      </c>
      <c r="B4" s="85" t="s">
        <v>8</v>
      </c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7"/>
    </row>
    <row r="5" spans="1:20" ht="18" customHeight="1" x14ac:dyDescent="0.25">
      <c r="A5" s="21" t="s">
        <v>9</v>
      </c>
      <c r="B5" s="85" t="s">
        <v>10</v>
      </c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7"/>
    </row>
    <row r="6" spans="1:20" ht="18" customHeight="1" x14ac:dyDescent="0.25">
      <c r="A6" s="21" t="s">
        <v>11</v>
      </c>
      <c r="B6" s="88" t="s">
        <v>12</v>
      </c>
      <c r="C6" s="88"/>
      <c r="D6" s="88" t="s">
        <v>12</v>
      </c>
      <c r="E6" s="88"/>
      <c r="F6" s="88" t="s">
        <v>12</v>
      </c>
      <c r="G6" s="88"/>
      <c r="H6" s="88" t="s">
        <v>13</v>
      </c>
      <c r="I6" s="88"/>
      <c r="J6" s="88" t="s">
        <v>13</v>
      </c>
      <c r="K6" s="88"/>
      <c r="L6" s="88" t="s">
        <v>13</v>
      </c>
      <c r="M6" s="88"/>
      <c r="N6" s="85" t="s">
        <v>14</v>
      </c>
      <c r="O6" s="87"/>
      <c r="P6" s="85" t="s">
        <v>14</v>
      </c>
      <c r="Q6" s="87"/>
      <c r="R6" s="85" t="s">
        <v>14</v>
      </c>
      <c r="S6" s="87"/>
    </row>
    <row r="7" spans="1:20" ht="18" customHeight="1" x14ac:dyDescent="0.25">
      <c r="A7" s="21" t="s">
        <v>15</v>
      </c>
      <c r="B7" s="85" t="s">
        <v>16</v>
      </c>
      <c r="C7" s="87"/>
      <c r="D7" s="85" t="s">
        <v>17</v>
      </c>
      <c r="E7" s="87"/>
      <c r="F7" s="85" t="s">
        <v>18</v>
      </c>
      <c r="G7" s="87"/>
      <c r="H7" s="85" t="s">
        <v>19</v>
      </c>
      <c r="I7" s="87"/>
      <c r="J7" s="85" t="s">
        <v>20</v>
      </c>
      <c r="K7" s="87"/>
      <c r="L7" s="85" t="s">
        <v>21</v>
      </c>
      <c r="M7" s="87"/>
      <c r="N7" s="85" t="s">
        <v>22</v>
      </c>
      <c r="O7" s="87"/>
      <c r="P7" s="85" t="s">
        <v>20</v>
      </c>
      <c r="Q7" s="87"/>
      <c r="R7" s="85" t="s">
        <v>23</v>
      </c>
      <c r="S7" s="87"/>
    </row>
    <row r="8" spans="1:20" ht="18" customHeight="1" x14ac:dyDescent="0.25">
      <c r="A8" s="21" t="s">
        <v>24</v>
      </c>
      <c r="B8" s="88">
        <v>1</v>
      </c>
      <c r="C8" s="88"/>
      <c r="D8" s="85">
        <v>2</v>
      </c>
      <c r="E8" s="87"/>
      <c r="F8" s="85">
        <v>3</v>
      </c>
      <c r="G8" s="87"/>
      <c r="H8" s="85">
        <v>4</v>
      </c>
      <c r="I8" s="87"/>
      <c r="J8" s="85">
        <v>5</v>
      </c>
      <c r="K8" s="87"/>
      <c r="L8" s="85">
        <v>6</v>
      </c>
      <c r="M8" s="87"/>
      <c r="N8" s="85">
        <v>7</v>
      </c>
      <c r="O8" s="87"/>
      <c r="P8" s="85">
        <v>8</v>
      </c>
      <c r="Q8" s="87"/>
      <c r="R8" s="85">
        <v>9</v>
      </c>
      <c r="S8" s="87"/>
    </row>
    <row r="9" spans="1:20" ht="18" customHeight="1" x14ac:dyDescent="0.25">
      <c r="A9" s="21" t="s">
        <v>25</v>
      </c>
      <c r="B9" s="88">
        <v>9000</v>
      </c>
      <c r="C9" s="88"/>
      <c r="D9" s="88">
        <v>9000</v>
      </c>
      <c r="E9" s="88"/>
      <c r="F9" s="88">
        <v>9000</v>
      </c>
      <c r="G9" s="88"/>
      <c r="H9" s="88">
        <v>9000</v>
      </c>
      <c r="I9" s="88"/>
      <c r="J9" s="88">
        <v>9000</v>
      </c>
      <c r="K9" s="88"/>
      <c r="L9" s="88">
        <v>9000</v>
      </c>
      <c r="M9" s="88"/>
      <c r="N9" s="88">
        <v>9000</v>
      </c>
      <c r="O9" s="88"/>
      <c r="P9" s="88">
        <v>9000</v>
      </c>
      <c r="Q9" s="88"/>
      <c r="R9" s="88">
        <v>9000</v>
      </c>
      <c r="S9" s="88"/>
    </row>
    <row r="10" spans="1:20" ht="18" customHeight="1" x14ac:dyDescent="0.25">
      <c r="A10" s="21" t="s">
        <v>26</v>
      </c>
      <c r="B10" s="89">
        <f>B36</f>
        <v>6115</v>
      </c>
      <c r="C10" s="90"/>
      <c r="D10" s="89">
        <f>D36</f>
        <v>6230</v>
      </c>
      <c r="E10" s="90"/>
      <c r="F10" s="89">
        <f>F36</f>
        <v>6671</v>
      </c>
      <c r="G10" s="90"/>
      <c r="H10" s="89">
        <f>H36</f>
        <v>6407</v>
      </c>
      <c r="I10" s="90"/>
      <c r="J10" s="89">
        <f>J36</f>
        <v>6329</v>
      </c>
      <c r="K10" s="90"/>
      <c r="L10" s="89">
        <f>L36</f>
        <v>6414</v>
      </c>
      <c r="M10" s="90"/>
      <c r="N10" s="89">
        <f>N36</f>
        <v>6434</v>
      </c>
      <c r="O10" s="90"/>
      <c r="P10" s="89">
        <f>P36</f>
        <v>6305</v>
      </c>
      <c r="Q10" s="90"/>
      <c r="R10" s="89">
        <f>R36</f>
        <v>6871</v>
      </c>
      <c r="S10" s="90"/>
    </row>
    <row r="11" spans="1:20" ht="26.25" customHeight="1" x14ac:dyDescent="0.25">
      <c r="A11" s="34" t="s">
        <v>27</v>
      </c>
      <c r="B11" s="91">
        <f>B43</f>
        <v>753</v>
      </c>
      <c r="C11" s="91"/>
      <c r="D11" s="91">
        <f>D43</f>
        <v>753</v>
      </c>
      <c r="E11" s="91"/>
      <c r="F11" s="91">
        <f>F43</f>
        <v>753</v>
      </c>
      <c r="G11" s="91"/>
      <c r="H11" s="91">
        <f>H43</f>
        <v>753</v>
      </c>
      <c r="I11" s="91"/>
      <c r="J11" s="91">
        <f>J43</f>
        <v>753</v>
      </c>
      <c r="K11" s="91"/>
      <c r="L11" s="91">
        <f>L43</f>
        <v>753</v>
      </c>
      <c r="M11" s="91"/>
      <c r="N11" s="91">
        <f>N43</f>
        <v>753</v>
      </c>
      <c r="O11" s="91"/>
      <c r="P11" s="91">
        <f>P43</f>
        <v>753</v>
      </c>
      <c r="Q11" s="91"/>
      <c r="R11" s="91">
        <f>R43</f>
        <v>753</v>
      </c>
      <c r="S11" s="91"/>
    </row>
    <row r="12" spans="1:20" ht="18" customHeight="1" x14ac:dyDescent="0.25">
      <c r="A12" s="21" t="s">
        <v>28</v>
      </c>
      <c r="B12" s="91">
        <f>B9-B10-B11</f>
        <v>2132</v>
      </c>
      <c r="C12" s="91"/>
      <c r="D12" s="91">
        <f>D9-D10-D11</f>
        <v>2017</v>
      </c>
      <c r="E12" s="91"/>
      <c r="F12" s="91">
        <f>F9-F10-F11</f>
        <v>1576</v>
      </c>
      <c r="G12" s="91"/>
      <c r="H12" s="91">
        <f>H9-H10-H11</f>
        <v>1840</v>
      </c>
      <c r="I12" s="91"/>
      <c r="J12" s="91">
        <f>J9-J10-J11</f>
        <v>1918</v>
      </c>
      <c r="K12" s="91"/>
      <c r="L12" s="91">
        <f>L9-L10-L11</f>
        <v>1833</v>
      </c>
      <c r="M12" s="91"/>
      <c r="N12" s="91">
        <f>N9-N10-N11</f>
        <v>1813</v>
      </c>
      <c r="O12" s="91"/>
      <c r="P12" s="91">
        <f>P9-P10-P11</f>
        <v>1942</v>
      </c>
      <c r="Q12" s="91"/>
      <c r="R12" s="91">
        <f>R9-R10-R11</f>
        <v>1376</v>
      </c>
      <c r="S12" s="91"/>
    </row>
    <row r="13" spans="1:20" ht="18" customHeight="1" x14ac:dyDescent="0.25">
      <c r="A13" s="21" t="s">
        <v>29</v>
      </c>
      <c r="B13" s="88">
        <v>1.45</v>
      </c>
      <c r="C13" s="88"/>
      <c r="D13" s="88">
        <v>1.45</v>
      </c>
      <c r="E13" s="88"/>
      <c r="F13" s="88">
        <v>1.45</v>
      </c>
      <c r="G13" s="88"/>
      <c r="H13" s="88">
        <v>1.45</v>
      </c>
      <c r="I13" s="88"/>
      <c r="J13" s="88">
        <v>1.45</v>
      </c>
      <c r="K13" s="88"/>
      <c r="L13" s="88">
        <v>1.45</v>
      </c>
      <c r="M13" s="88"/>
      <c r="N13" s="88">
        <v>1.45</v>
      </c>
      <c r="O13" s="88"/>
      <c r="P13" s="88">
        <v>1.45</v>
      </c>
      <c r="Q13" s="88"/>
      <c r="R13" s="88">
        <v>1.45</v>
      </c>
      <c r="S13" s="88"/>
      <c r="T13" t="s">
        <v>30</v>
      </c>
    </row>
    <row r="14" spans="1:20" ht="18" customHeight="1" x14ac:dyDescent="0.25">
      <c r="A14" s="21" t="s">
        <v>31</v>
      </c>
      <c r="B14" s="92">
        <f>ROUND(B12/B13,0)</f>
        <v>1470</v>
      </c>
      <c r="C14" s="92"/>
      <c r="D14" s="92">
        <f>ROUND(D12/D13,0)</f>
        <v>1391</v>
      </c>
      <c r="E14" s="92"/>
      <c r="F14" s="92">
        <f>ROUND(F12/F13,0)</f>
        <v>1087</v>
      </c>
      <c r="G14" s="92"/>
      <c r="H14" s="92">
        <f>ROUND(H12/H13,0)</f>
        <v>1269</v>
      </c>
      <c r="I14" s="92"/>
      <c r="J14" s="92">
        <f>ROUND(J12/J13,0)</f>
        <v>1323</v>
      </c>
      <c r="K14" s="92"/>
      <c r="L14" s="92">
        <f>ROUND(L12/L13,0)</f>
        <v>1264</v>
      </c>
      <c r="M14" s="92"/>
      <c r="N14" s="92">
        <f>ROUND(N12/N13,0)</f>
        <v>1250</v>
      </c>
      <c r="O14" s="92"/>
      <c r="P14" s="92">
        <f>ROUND(P12/P13,0)</f>
        <v>1339</v>
      </c>
      <c r="Q14" s="92"/>
      <c r="R14" s="92">
        <f>ROUND(R12/R13,0)</f>
        <v>949</v>
      </c>
      <c r="S14" s="92"/>
    </row>
    <row r="15" spans="1:20" ht="18" customHeight="1" x14ac:dyDescent="0.25">
      <c r="A15" s="21" t="s">
        <v>32</v>
      </c>
      <c r="B15" s="88">
        <v>3731</v>
      </c>
      <c r="C15" s="88"/>
      <c r="D15" s="88">
        <v>3544</v>
      </c>
      <c r="E15" s="88"/>
      <c r="F15" s="88">
        <v>3056</v>
      </c>
      <c r="G15" s="88"/>
      <c r="H15" s="88">
        <v>3414</v>
      </c>
      <c r="I15" s="88"/>
      <c r="J15" s="88">
        <v>3489</v>
      </c>
      <c r="K15" s="88"/>
      <c r="L15" s="88">
        <v>3469</v>
      </c>
      <c r="M15" s="88"/>
      <c r="N15" s="88">
        <v>3334</v>
      </c>
      <c r="O15" s="88"/>
      <c r="P15" s="88">
        <v>4108</v>
      </c>
      <c r="Q15" s="88"/>
      <c r="R15" s="88">
        <v>2636</v>
      </c>
      <c r="S15" s="88"/>
    </row>
    <row r="16" spans="1:20" ht="18" customHeight="1" x14ac:dyDescent="0.25">
      <c r="A16" s="21" t="s">
        <v>33</v>
      </c>
      <c r="B16" s="93">
        <f>ROUND(B15/B14,2)</f>
        <v>2.54</v>
      </c>
      <c r="C16" s="93"/>
      <c r="D16" s="93">
        <f>ROUND(D15/D14,2)</f>
        <v>2.5499999999999998</v>
      </c>
      <c r="E16" s="93"/>
      <c r="F16" s="93">
        <f>ROUND(F15/F14,2)</f>
        <v>2.81</v>
      </c>
      <c r="G16" s="93"/>
      <c r="H16" s="93">
        <f>ROUND(H15/H14,2)</f>
        <v>2.69</v>
      </c>
      <c r="I16" s="93"/>
      <c r="J16" s="93">
        <f>ROUND(J15/J14,2)</f>
        <v>2.64</v>
      </c>
      <c r="K16" s="93"/>
      <c r="L16" s="93">
        <f>ROUND(L15/L14,2)</f>
        <v>2.74</v>
      </c>
      <c r="M16" s="93"/>
      <c r="N16" s="93">
        <f>ROUND(N15/N14,2)</f>
        <v>2.67</v>
      </c>
      <c r="O16" s="93"/>
      <c r="P16" s="93">
        <f>ROUND(P15/P14,2)</f>
        <v>3.07</v>
      </c>
      <c r="Q16" s="93"/>
      <c r="R16" s="93">
        <f>ROUND(R15/R14,2)</f>
        <v>2.78</v>
      </c>
      <c r="S16" s="93"/>
    </row>
    <row r="17" spans="1:19" ht="18" customHeight="1" x14ac:dyDescent="0.25">
      <c r="A17" s="21" t="s">
        <v>34</v>
      </c>
      <c r="B17" s="85">
        <v>1</v>
      </c>
      <c r="C17" s="87"/>
      <c r="D17" s="85">
        <v>2</v>
      </c>
      <c r="E17" s="87"/>
      <c r="F17" s="85">
        <v>3</v>
      </c>
      <c r="G17" s="87"/>
      <c r="H17" s="85">
        <v>4</v>
      </c>
      <c r="I17" s="87"/>
      <c r="J17" s="85">
        <v>5</v>
      </c>
      <c r="K17" s="87"/>
      <c r="L17" s="85">
        <v>6</v>
      </c>
      <c r="M17" s="87"/>
      <c r="N17" s="85">
        <v>6</v>
      </c>
      <c r="O17" s="87"/>
      <c r="P17" s="85">
        <v>6</v>
      </c>
      <c r="Q17" s="87"/>
      <c r="R17" s="85">
        <v>6</v>
      </c>
      <c r="S17" s="87"/>
    </row>
    <row r="18" spans="1:19" ht="18" customHeight="1" x14ac:dyDescent="0.25">
      <c r="A18" s="21" t="s">
        <v>35</v>
      </c>
      <c r="B18" s="85">
        <v>366</v>
      </c>
      <c r="C18" s="87"/>
      <c r="D18" s="85">
        <v>388</v>
      </c>
      <c r="E18" s="87"/>
      <c r="F18" s="85">
        <v>386</v>
      </c>
      <c r="G18" s="87"/>
      <c r="H18" s="85">
        <v>382</v>
      </c>
      <c r="I18" s="87"/>
      <c r="J18" s="85">
        <v>383</v>
      </c>
      <c r="K18" s="87"/>
      <c r="L18" s="85">
        <v>375</v>
      </c>
      <c r="M18" s="87"/>
      <c r="N18" s="85">
        <v>392</v>
      </c>
      <c r="O18" s="87"/>
      <c r="P18" s="85">
        <v>363</v>
      </c>
      <c r="Q18" s="87"/>
      <c r="R18" s="85">
        <v>396</v>
      </c>
      <c r="S18" s="87"/>
    </row>
    <row r="19" spans="1:19" ht="18" customHeight="1" x14ac:dyDescent="0.25">
      <c r="A19" s="21" t="s">
        <v>36</v>
      </c>
      <c r="B19" s="85">
        <v>2813</v>
      </c>
      <c r="C19" s="87"/>
      <c r="D19" s="85">
        <v>3060</v>
      </c>
      <c r="E19" s="87"/>
      <c r="F19" s="85">
        <v>2936</v>
      </c>
      <c r="G19" s="87"/>
      <c r="H19" s="85">
        <v>2986</v>
      </c>
      <c r="I19" s="87"/>
      <c r="J19" s="85">
        <v>3672</v>
      </c>
      <c r="K19" s="87"/>
      <c r="L19" s="85">
        <v>3626</v>
      </c>
      <c r="M19" s="87"/>
      <c r="N19" s="85">
        <v>2907</v>
      </c>
      <c r="O19" s="87"/>
      <c r="P19" s="85">
        <v>3556</v>
      </c>
      <c r="Q19" s="87"/>
      <c r="R19" s="85">
        <v>2989</v>
      </c>
      <c r="S19" s="87"/>
    </row>
    <row r="20" spans="1:19" ht="18" customHeight="1" x14ac:dyDescent="0.25">
      <c r="A20" s="21" t="s">
        <v>37</v>
      </c>
      <c r="B20" s="85">
        <v>2755</v>
      </c>
      <c r="C20" s="87"/>
      <c r="D20" s="85">
        <v>3014</v>
      </c>
      <c r="E20" s="87"/>
      <c r="F20" s="85">
        <v>2828</v>
      </c>
      <c r="G20" s="87"/>
      <c r="H20" s="85">
        <v>2902</v>
      </c>
      <c r="I20" s="87"/>
      <c r="J20" s="85">
        <v>3591</v>
      </c>
      <c r="K20" s="87"/>
      <c r="L20" s="85">
        <v>3551</v>
      </c>
      <c r="M20" s="87"/>
      <c r="N20" s="85">
        <v>2801</v>
      </c>
      <c r="O20" s="87"/>
      <c r="P20" s="85">
        <v>3460</v>
      </c>
      <c r="Q20" s="87"/>
      <c r="R20" s="85">
        <v>2918</v>
      </c>
      <c r="S20" s="87"/>
    </row>
    <row r="21" spans="1:19" ht="18" customHeight="1" x14ac:dyDescent="0.25">
      <c r="A21" s="35" t="s">
        <v>38</v>
      </c>
      <c r="B21" s="94">
        <f>ROUND((B19-B20)/(B20-B18)*100,1)</f>
        <v>2.4</v>
      </c>
      <c r="C21" s="95"/>
      <c r="D21" s="94">
        <f>ROUND((D19-D20)/(D20-D18)*100,1)</f>
        <v>1.8</v>
      </c>
      <c r="E21" s="95"/>
      <c r="F21" s="94">
        <f>ROUND((F19-F20)/(F20-F18)*100,1)</f>
        <v>4.4000000000000004</v>
      </c>
      <c r="G21" s="95"/>
      <c r="H21" s="94">
        <f>ROUND((H19-H20)/(H20-H18)*100,1)</f>
        <v>3.3</v>
      </c>
      <c r="I21" s="95"/>
      <c r="J21" s="94">
        <f>ROUND((J19-J20)/(J20-J18)*100,1)</f>
        <v>2.5</v>
      </c>
      <c r="K21" s="95"/>
      <c r="L21" s="94">
        <f>ROUND((L19-L20)/(L20-L18)*100,1)</f>
        <v>2.4</v>
      </c>
      <c r="M21" s="95"/>
      <c r="N21" s="94">
        <f>ROUND((N19-N20)/(N20-N18)*100,1)</f>
        <v>4.4000000000000004</v>
      </c>
      <c r="O21" s="95"/>
      <c r="P21" s="94">
        <f>ROUND((P19-P20)/(P20-P18)*100,1)</f>
        <v>3.1</v>
      </c>
      <c r="Q21" s="95"/>
      <c r="R21" s="94">
        <f>ROUND((R19-R20)/(R20-R18)*100,1)</f>
        <v>2.8</v>
      </c>
      <c r="S21" s="95"/>
    </row>
    <row r="22" spans="1:19" ht="18" customHeight="1" x14ac:dyDescent="0.25">
      <c r="A22" s="36" t="s">
        <v>39</v>
      </c>
      <c r="B22" s="96">
        <f>ROUND(B16/(1+0.01*B21),2)</f>
        <v>2.48</v>
      </c>
      <c r="C22" s="96"/>
      <c r="D22" s="96">
        <f>ROUND(D16/(1+0.01*D21),2)</f>
        <v>2.5</v>
      </c>
      <c r="E22" s="96"/>
      <c r="F22" s="96">
        <f>ROUND(F16/(1+0.01*F21),2)</f>
        <v>2.69</v>
      </c>
      <c r="G22" s="96"/>
      <c r="H22" s="96">
        <f>ROUND(H16/(1+0.01*H21),2)</f>
        <v>2.6</v>
      </c>
      <c r="I22" s="96"/>
      <c r="J22" s="96">
        <f>ROUND(J16/(1+0.01*J21),2)</f>
        <v>2.58</v>
      </c>
      <c r="K22" s="96"/>
      <c r="L22" s="96">
        <f>ROUND(L16/(1+0.01*L21),2)</f>
        <v>2.68</v>
      </c>
      <c r="M22" s="96"/>
      <c r="N22" s="96">
        <f>ROUND(N16/(1+0.01*N21),2)</f>
        <v>2.56</v>
      </c>
      <c r="O22" s="96"/>
      <c r="P22" s="96">
        <f>ROUND(P16/(1+0.01*P21),2)</f>
        <v>2.98</v>
      </c>
      <c r="Q22" s="96"/>
      <c r="R22" s="96">
        <f>ROUND(R16/(1+0.01*R21),2)</f>
        <v>2.7</v>
      </c>
      <c r="S22" s="96"/>
    </row>
    <row r="23" spans="1:19" ht="18" customHeight="1" x14ac:dyDescent="0.25">
      <c r="A23" s="21" t="s">
        <v>40</v>
      </c>
      <c r="B23" s="97">
        <v>2.16</v>
      </c>
      <c r="C23" s="97"/>
      <c r="D23" s="97">
        <v>2.16</v>
      </c>
      <c r="E23" s="97"/>
      <c r="F23" s="97">
        <v>2.16</v>
      </c>
      <c r="G23" s="97"/>
      <c r="H23" s="97">
        <v>2.16</v>
      </c>
      <c r="I23" s="97"/>
      <c r="J23" s="97">
        <v>2.16</v>
      </c>
      <c r="K23" s="97"/>
      <c r="L23" s="97">
        <v>2.16</v>
      </c>
      <c r="M23" s="97"/>
      <c r="N23" s="97">
        <v>2.16</v>
      </c>
      <c r="O23" s="97"/>
      <c r="P23" s="97">
        <v>2.16</v>
      </c>
      <c r="Q23" s="97"/>
      <c r="R23" s="97">
        <v>2.16</v>
      </c>
      <c r="S23" s="97"/>
    </row>
    <row r="24" spans="1:19" ht="18" customHeight="1" x14ac:dyDescent="0.25">
      <c r="A24" s="37" t="s">
        <v>41</v>
      </c>
      <c r="B24" s="98">
        <f>B22/B23*100</f>
        <v>114.81481481481499</v>
      </c>
      <c r="C24" s="98"/>
      <c r="D24" s="98">
        <f>D22/D23*100</f>
        <v>115.740740740741</v>
      </c>
      <c r="E24" s="98"/>
      <c r="F24" s="98">
        <f>F22/F23*100</f>
        <v>124.537037037037</v>
      </c>
      <c r="G24" s="98"/>
      <c r="H24" s="98">
        <f>H22/H23*100</f>
        <v>120.37037037037</v>
      </c>
      <c r="I24" s="98"/>
      <c r="J24" s="98">
        <f>J22/J23*100</f>
        <v>119.444444444444</v>
      </c>
      <c r="K24" s="98"/>
      <c r="L24" s="98">
        <f>L22/L23*100</f>
        <v>124.07407407407401</v>
      </c>
      <c r="M24" s="98"/>
      <c r="N24" s="98">
        <f>N22/N23*100</f>
        <v>118.518518518519</v>
      </c>
      <c r="O24" s="98"/>
      <c r="P24" s="98">
        <f>P22/P23*100</f>
        <v>137.96296296296299</v>
      </c>
      <c r="Q24" s="98"/>
      <c r="R24" s="98">
        <f>R22/R23*100</f>
        <v>125</v>
      </c>
      <c r="S24" s="98"/>
    </row>
    <row r="25" spans="1:19" ht="18" customHeight="1" x14ac:dyDescent="0.25">
      <c r="A25" s="21" t="s">
        <v>42</v>
      </c>
      <c r="B25" s="85" t="s">
        <v>43</v>
      </c>
      <c r="C25" s="86"/>
      <c r="D25" s="86"/>
      <c r="E25" s="86"/>
      <c r="F25" s="86"/>
      <c r="G25" s="86"/>
      <c r="H25" s="86"/>
      <c r="I25" s="86"/>
      <c r="J25" s="86"/>
      <c r="K25" s="86"/>
      <c r="L25" s="86"/>
      <c r="M25" s="86"/>
      <c r="N25" s="86"/>
      <c r="O25" s="86"/>
      <c r="P25" s="86"/>
      <c r="Q25" s="86"/>
      <c r="R25" s="86"/>
      <c r="S25" s="87"/>
    </row>
    <row r="26" spans="1:19" ht="18" customHeight="1" x14ac:dyDescent="0.25">
      <c r="A26" s="21" t="s">
        <v>44</v>
      </c>
      <c r="B26" s="85" t="s">
        <v>45</v>
      </c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7"/>
    </row>
    <row r="27" spans="1:19" ht="18" customHeight="1" x14ac:dyDescent="0.25">
      <c r="A27" s="21" t="s">
        <v>46</v>
      </c>
      <c r="B27" s="85"/>
      <c r="C27" s="86"/>
      <c r="D27" s="86"/>
      <c r="E27" s="86"/>
      <c r="F27" s="86"/>
      <c r="G27" s="86"/>
      <c r="H27" s="86"/>
      <c r="I27" s="86"/>
      <c r="J27" s="86"/>
      <c r="K27" s="86"/>
      <c r="L27" s="86"/>
      <c r="M27" s="86"/>
      <c r="N27" s="86"/>
      <c r="O27" s="86"/>
      <c r="P27" s="86"/>
      <c r="Q27" s="86"/>
      <c r="R27" s="86"/>
      <c r="S27" s="87"/>
    </row>
    <row r="28" spans="1:19" x14ac:dyDescent="0.25">
      <c r="A28" s="38" t="s">
        <v>47</v>
      </c>
      <c r="F28" s="20" t="s">
        <v>48</v>
      </c>
      <c r="K28" s="99" t="s">
        <v>49</v>
      </c>
      <c r="L28" s="99"/>
    </row>
    <row r="31" spans="1:19" x14ac:dyDescent="0.25">
      <c r="A31" s="22" t="s">
        <v>50</v>
      </c>
    </row>
    <row r="32" spans="1:19" ht="19" customHeight="1" x14ac:dyDescent="0.25">
      <c r="A32" s="33" t="s">
        <v>51</v>
      </c>
      <c r="B32" s="91">
        <v>9000</v>
      </c>
      <c r="C32" s="91"/>
      <c r="D32" s="91">
        <v>9000</v>
      </c>
      <c r="E32" s="91"/>
      <c r="F32" s="91">
        <v>9000</v>
      </c>
      <c r="G32" s="91"/>
      <c r="H32" s="91">
        <v>9000</v>
      </c>
      <c r="I32" s="91"/>
      <c r="J32" s="91">
        <v>9000</v>
      </c>
      <c r="K32" s="91"/>
      <c r="L32" s="91">
        <v>9000</v>
      </c>
      <c r="M32" s="91"/>
      <c r="N32" s="91">
        <v>9000</v>
      </c>
      <c r="O32" s="91"/>
      <c r="P32" s="91">
        <v>9000</v>
      </c>
      <c r="Q32" s="91"/>
      <c r="R32" s="91">
        <v>9000</v>
      </c>
      <c r="S32" s="91"/>
    </row>
    <row r="33" spans="1:19" ht="19" customHeight="1" x14ac:dyDescent="0.25">
      <c r="A33" s="33" t="s">
        <v>52</v>
      </c>
      <c r="B33" s="85">
        <v>7942</v>
      </c>
      <c r="C33" s="87"/>
      <c r="D33" s="85">
        <v>7890</v>
      </c>
      <c r="E33" s="87"/>
      <c r="F33" s="85">
        <v>7596</v>
      </c>
      <c r="G33" s="87"/>
      <c r="H33" s="85">
        <v>8202</v>
      </c>
      <c r="I33" s="87"/>
      <c r="J33" s="85">
        <v>7871</v>
      </c>
      <c r="K33" s="87"/>
      <c r="L33" s="85">
        <v>8104</v>
      </c>
      <c r="M33" s="87"/>
      <c r="N33" s="85">
        <v>7935</v>
      </c>
      <c r="O33" s="87"/>
      <c r="P33" s="85">
        <v>8094</v>
      </c>
      <c r="Q33" s="87"/>
      <c r="R33" s="85">
        <v>7933</v>
      </c>
      <c r="S33" s="87"/>
    </row>
    <row r="34" spans="1:19" ht="19" customHeight="1" x14ac:dyDescent="0.25">
      <c r="A34" s="33" t="s">
        <v>53</v>
      </c>
      <c r="B34" s="89">
        <f>B32-B33</f>
        <v>1058</v>
      </c>
      <c r="C34" s="90"/>
      <c r="D34" s="89">
        <f>D32-D33</f>
        <v>1110</v>
      </c>
      <c r="E34" s="90"/>
      <c r="F34" s="89">
        <f>F32-F33</f>
        <v>1404</v>
      </c>
      <c r="G34" s="90"/>
      <c r="H34" s="89">
        <f>H32-H33</f>
        <v>798</v>
      </c>
      <c r="I34" s="90"/>
      <c r="J34" s="89">
        <f>J32-J33</f>
        <v>1129</v>
      </c>
      <c r="K34" s="90"/>
      <c r="L34" s="89">
        <f>L32-L33</f>
        <v>896</v>
      </c>
      <c r="M34" s="90"/>
      <c r="N34" s="89">
        <f>N32-N33</f>
        <v>1065</v>
      </c>
      <c r="O34" s="90"/>
      <c r="P34" s="89">
        <f>P32-P33</f>
        <v>906</v>
      </c>
      <c r="Q34" s="90"/>
      <c r="R34" s="89">
        <f>R32-R33</f>
        <v>1067</v>
      </c>
      <c r="S34" s="90"/>
    </row>
    <row r="35" spans="1:19" ht="19" customHeight="1" x14ac:dyDescent="0.25">
      <c r="A35" s="33" t="s">
        <v>54</v>
      </c>
      <c r="B35" s="85">
        <v>5057</v>
      </c>
      <c r="C35" s="87"/>
      <c r="D35" s="85">
        <v>5120</v>
      </c>
      <c r="E35" s="87"/>
      <c r="F35" s="85">
        <v>5267</v>
      </c>
      <c r="G35" s="87"/>
      <c r="H35" s="85">
        <v>5609</v>
      </c>
      <c r="I35" s="87"/>
      <c r="J35" s="85">
        <v>5200</v>
      </c>
      <c r="K35" s="87"/>
      <c r="L35" s="85">
        <v>5518</v>
      </c>
      <c r="M35" s="87"/>
      <c r="N35" s="85">
        <v>5369</v>
      </c>
      <c r="O35" s="87"/>
      <c r="P35" s="85">
        <v>5399</v>
      </c>
      <c r="Q35" s="87"/>
      <c r="R35" s="85">
        <v>5804</v>
      </c>
      <c r="S35" s="87"/>
    </row>
    <row r="36" spans="1:19" ht="19" customHeight="1" x14ac:dyDescent="0.25">
      <c r="A36" s="33" t="s">
        <v>55</v>
      </c>
      <c r="B36" s="89">
        <f>B34+B35</f>
        <v>6115</v>
      </c>
      <c r="C36" s="90"/>
      <c r="D36" s="89">
        <f>D34+D35</f>
        <v>6230</v>
      </c>
      <c r="E36" s="90"/>
      <c r="F36" s="89">
        <f>F34+F35</f>
        <v>6671</v>
      </c>
      <c r="G36" s="90"/>
      <c r="H36" s="89">
        <f>H34+H35</f>
        <v>6407</v>
      </c>
      <c r="I36" s="90"/>
      <c r="J36" s="89">
        <f>J34+J35</f>
        <v>6329</v>
      </c>
      <c r="K36" s="90"/>
      <c r="L36" s="89">
        <f>L34+L35</f>
        <v>6414</v>
      </c>
      <c r="M36" s="90"/>
      <c r="N36" s="89">
        <f>N34+N35</f>
        <v>6434</v>
      </c>
      <c r="O36" s="90"/>
      <c r="P36" s="89">
        <f>P34+P35</f>
        <v>6305</v>
      </c>
      <c r="Q36" s="90"/>
      <c r="R36" s="89">
        <f>R34+R35</f>
        <v>6871</v>
      </c>
      <c r="S36" s="90"/>
    </row>
    <row r="37" spans="1:19" ht="19" customHeight="1" x14ac:dyDescent="0.25">
      <c r="A37" s="2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</row>
    <row r="38" spans="1:19" ht="19" customHeight="1" x14ac:dyDescent="0.25">
      <c r="A38" s="22" t="s">
        <v>56</v>
      </c>
    </row>
    <row r="39" spans="1:19" ht="19" customHeight="1" x14ac:dyDescent="0.25">
      <c r="A39" s="33" t="s">
        <v>51</v>
      </c>
      <c r="B39" s="85">
        <v>8547</v>
      </c>
      <c r="C39" s="87"/>
      <c r="D39" s="85">
        <v>8547</v>
      </c>
      <c r="E39" s="87"/>
      <c r="F39" s="85">
        <v>8547</v>
      </c>
      <c r="G39" s="87"/>
      <c r="H39" s="85">
        <v>8547</v>
      </c>
      <c r="I39" s="87"/>
      <c r="J39" s="85">
        <v>8547</v>
      </c>
      <c r="K39" s="87"/>
      <c r="L39" s="85">
        <v>8547</v>
      </c>
      <c r="M39" s="87"/>
      <c r="N39" s="85">
        <v>8547</v>
      </c>
      <c r="O39" s="87"/>
      <c r="P39" s="85">
        <v>8547</v>
      </c>
      <c r="Q39" s="87"/>
      <c r="R39" s="85">
        <v>8547</v>
      </c>
      <c r="S39" s="87"/>
    </row>
    <row r="40" spans="1:19" ht="19" customHeight="1" x14ac:dyDescent="0.25">
      <c r="A40" s="33" t="s">
        <v>54</v>
      </c>
      <c r="B40" s="85">
        <v>7794</v>
      </c>
      <c r="C40" s="87"/>
      <c r="D40" s="85">
        <v>7794</v>
      </c>
      <c r="E40" s="87"/>
      <c r="F40" s="85">
        <v>7794</v>
      </c>
      <c r="G40" s="87"/>
      <c r="H40" s="85">
        <v>7794</v>
      </c>
      <c r="I40" s="87"/>
      <c r="J40" s="85">
        <v>7794</v>
      </c>
      <c r="K40" s="87"/>
      <c r="L40" s="85">
        <v>7794</v>
      </c>
      <c r="M40" s="87"/>
      <c r="N40" s="85">
        <v>7794</v>
      </c>
      <c r="O40" s="87"/>
      <c r="P40" s="85">
        <v>7794</v>
      </c>
      <c r="Q40" s="87"/>
      <c r="R40" s="85">
        <v>7794</v>
      </c>
      <c r="S40" s="87"/>
    </row>
    <row r="41" spans="1:19" ht="19" customHeight="1" x14ac:dyDescent="0.25">
      <c r="A41" s="33" t="s">
        <v>57</v>
      </c>
      <c r="B41" s="88">
        <v>720</v>
      </c>
      <c r="C41" s="88"/>
      <c r="D41" s="88">
        <v>720</v>
      </c>
      <c r="E41" s="88"/>
      <c r="F41" s="88">
        <v>720</v>
      </c>
      <c r="G41" s="88"/>
      <c r="H41" s="88">
        <v>720</v>
      </c>
      <c r="I41" s="88"/>
      <c r="J41" s="88">
        <v>720</v>
      </c>
      <c r="K41" s="88"/>
      <c r="L41" s="88">
        <v>720</v>
      </c>
      <c r="M41" s="88"/>
      <c r="N41" s="88">
        <v>720</v>
      </c>
      <c r="O41" s="88"/>
      <c r="P41" s="88">
        <v>720</v>
      </c>
      <c r="Q41" s="88"/>
      <c r="R41" s="88">
        <v>720</v>
      </c>
      <c r="S41" s="88"/>
    </row>
    <row r="42" spans="1:19" ht="19" customHeight="1" x14ac:dyDescent="0.25">
      <c r="A42" s="33" t="s">
        <v>58</v>
      </c>
      <c r="B42" s="89">
        <f>B39-B40-B41</f>
        <v>33</v>
      </c>
      <c r="C42" s="90"/>
      <c r="D42" s="89">
        <f>D39-D40-D41</f>
        <v>33</v>
      </c>
      <c r="E42" s="90"/>
      <c r="F42" s="89">
        <f>F39-F40-F41</f>
        <v>33</v>
      </c>
      <c r="G42" s="90"/>
      <c r="H42" s="89">
        <f>H39-H40-H41</f>
        <v>33</v>
      </c>
      <c r="I42" s="90"/>
      <c r="J42" s="89">
        <f>J39-J40-J41</f>
        <v>33</v>
      </c>
      <c r="K42" s="90"/>
      <c r="L42" s="89">
        <f>L39-L40-L41</f>
        <v>33</v>
      </c>
      <c r="M42" s="90"/>
      <c r="N42" s="89">
        <f>N39-N40-N41</f>
        <v>33</v>
      </c>
      <c r="O42" s="90"/>
      <c r="P42" s="89">
        <f>P39-P40-P41</f>
        <v>33</v>
      </c>
      <c r="Q42" s="90"/>
      <c r="R42" s="89">
        <f>R39-R40-R41</f>
        <v>33</v>
      </c>
      <c r="S42" s="90"/>
    </row>
    <row r="43" spans="1:19" ht="26.25" customHeight="1" x14ac:dyDescent="0.25">
      <c r="A43" s="23" t="s">
        <v>27</v>
      </c>
      <c r="B43" s="89">
        <f>B41+B42</f>
        <v>753</v>
      </c>
      <c r="C43" s="90"/>
      <c r="D43" s="89">
        <f>D41+D42</f>
        <v>753</v>
      </c>
      <c r="E43" s="90"/>
      <c r="F43" s="89">
        <f>F41+F42</f>
        <v>753</v>
      </c>
      <c r="G43" s="90"/>
      <c r="H43" s="89">
        <f>H41+H42</f>
        <v>753</v>
      </c>
      <c r="I43" s="90"/>
      <c r="J43" s="89">
        <f>J41+J42</f>
        <v>753</v>
      </c>
      <c r="K43" s="90"/>
      <c r="L43" s="89">
        <f>L41+L42</f>
        <v>753</v>
      </c>
      <c r="M43" s="90"/>
      <c r="N43" s="89">
        <f>N41+N42</f>
        <v>753</v>
      </c>
      <c r="O43" s="90"/>
      <c r="P43" s="89">
        <f>P41+P42</f>
        <v>753</v>
      </c>
      <c r="Q43" s="90"/>
      <c r="R43" s="89">
        <f>R41+R42</f>
        <v>753</v>
      </c>
      <c r="S43" s="90"/>
    </row>
  </sheetData>
  <mergeCells count="274">
    <mergeCell ref="B43:C43"/>
    <mergeCell ref="D43:E43"/>
    <mergeCell ref="F43:G43"/>
    <mergeCell ref="H43:I43"/>
    <mergeCell ref="J43:K43"/>
    <mergeCell ref="L43:M43"/>
    <mergeCell ref="N43:O43"/>
    <mergeCell ref="P43:Q43"/>
    <mergeCell ref="R43:S43"/>
    <mergeCell ref="B42:C42"/>
    <mergeCell ref="D42:E42"/>
    <mergeCell ref="F42:G42"/>
    <mergeCell ref="H42:I42"/>
    <mergeCell ref="J42:K42"/>
    <mergeCell ref="L42:M42"/>
    <mergeCell ref="N42:O42"/>
    <mergeCell ref="P42:Q42"/>
    <mergeCell ref="R42:S42"/>
    <mergeCell ref="B41:C41"/>
    <mergeCell ref="D41:E41"/>
    <mergeCell ref="F41:G41"/>
    <mergeCell ref="H41:I41"/>
    <mergeCell ref="J41:K41"/>
    <mergeCell ref="L41:M41"/>
    <mergeCell ref="N41:O41"/>
    <mergeCell ref="P41:Q41"/>
    <mergeCell ref="R41:S41"/>
    <mergeCell ref="B40:C40"/>
    <mergeCell ref="D40:E40"/>
    <mergeCell ref="F40:G40"/>
    <mergeCell ref="H40:I40"/>
    <mergeCell ref="J40:K40"/>
    <mergeCell ref="L40:M40"/>
    <mergeCell ref="N40:O40"/>
    <mergeCell ref="P40:Q40"/>
    <mergeCell ref="R40:S40"/>
    <mergeCell ref="B39:C39"/>
    <mergeCell ref="D39:E39"/>
    <mergeCell ref="F39:G39"/>
    <mergeCell ref="H39:I39"/>
    <mergeCell ref="J39:K39"/>
    <mergeCell ref="L39:M39"/>
    <mergeCell ref="N39:O39"/>
    <mergeCell ref="P39:Q39"/>
    <mergeCell ref="R39:S39"/>
    <mergeCell ref="B36:C36"/>
    <mergeCell ref="D36:E36"/>
    <mergeCell ref="F36:G36"/>
    <mergeCell ref="H36:I36"/>
    <mergeCell ref="J36:K36"/>
    <mergeCell ref="L36:M36"/>
    <mergeCell ref="N36:O36"/>
    <mergeCell ref="P36:Q36"/>
    <mergeCell ref="R36:S36"/>
    <mergeCell ref="B35:C35"/>
    <mergeCell ref="D35:E35"/>
    <mergeCell ref="F35:G35"/>
    <mergeCell ref="H35:I35"/>
    <mergeCell ref="J35:K35"/>
    <mergeCell ref="L35:M35"/>
    <mergeCell ref="N35:O35"/>
    <mergeCell ref="P35:Q35"/>
    <mergeCell ref="R35:S35"/>
    <mergeCell ref="B34:C34"/>
    <mergeCell ref="D34:E34"/>
    <mergeCell ref="F34:G34"/>
    <mergeCell ref="H34:I34"/>
    <mergeCell ref="J34:K34"/>
    <mergeCell ref="L34:M34"/>
    <mergeCell ref="N34:O34"/>
    <mergeCell ref="P34:Q34"/>
    <mergeCell ref="R34:S34"/>
    <mergeCell ref="B33:C33"/>
    <mergeCell ref="D33:E33"/>
    <mergeCell ref="F33:G33"/>
    <mergeCell ref="H33:I33"/>
    <mergeCell ref="J33:K33"/>
    <mergeCell ref="L33:M33"/>
    <mergeCell ref="N33:O33"/>
    <mergeCell ref="P33:Q33"/>
    <mergeCell ref="R33:S33"/>
    <mergeCell ref="B25:S25"/>
    <mergeCell ref="B26:S26"/>
    <mergeCell ref="B27:S27"/>
    <mergeCell ref="K28:L28"/>
    <mergeCell ref="B32:C32"/>
    <mergeCell ref="D32:E32"/>
    <mergeCell ref="F32:G32"/>
    <mergeCell ref="H32:I32"/>
    <mergeCell ref="J32:K32"/>
    <mergeCell ref="L32:M32"/>
    <mergeCell ref="N32:O32"/>
    <mergeCell ref="P32:Q32"/>
    <mergeCell ref="R32:S32"/>
    <mergeCell ref="B24:C24"/>
    <mergeCell ref="D24:E24"/>
    <mergeCell ref="F24:G24"/>
    <mergeCell ref="H24:I24"/>
    <mergeCell ref="J24:K24"/>
    <mergeCell ref="L24:M24"/>
    <mergeCell ref="N24:O24"/>
    <mergeCell ref="P24:Q24"/>
    <mergeCell ref="R24:S24"/>
    <mergeCell ref="B23:C23"/>
    <mergeCell ref="D23:E23"/>
    <mergeCell ref="F23:G23"/>
    <mergeCell ref="H23:I23"/>
    <mergeCell ref="J23:K23"/>
    <mergeCell ref="L23:M23"/>
    <mergeCell ref="N23:O23"/>
    <mergeCell ref="P23:Q23"/>
    <mergeCell ref="R23:S23"/>
    <mergeCell ref="B22:C22"/>
    <mergeCell ref="D22:E22"/>
    <mergeCell ref="F22:G22"/>
    <mergeCell ref="H22:I22"/>
    <mergeCell ref="J22:K22"/>
    <mergeCell ref="L22:M22"/>
    <mergeCell ref="N22:O22"/>
    <mergeCell ref="P22:Q22"/>
    <mergeCell ref="R22:S22"/>
    <mergeCell ref="B21:C21"/>
    <mergeCell ref="D21:E21"/>
    <mergeCell ref="F21:G21"/>
    <mergeCell ref="H21:I21"/>
    <mergeCell ref="J21:K21"/>
    <mergeCell ref="L21:M21"/>
    <mergeCell ref="N21:O21"/>
    <mergeCell ref="P21:Q21"/>
    <mergeCell ref="R21:S21"/>
    <mergeCell ref="B20:C20"/>
    <mergeCell ref="D20:E20"/>
    <mergeCell ref="F20:G20"/>
    <mergeCell ref="H20:I20"/>
    <mergeCell ref="J20:K20"/>
    <mergeCell ref="L20:M20"/>
    <mergeCell ref="N20:O20"/>
    <mergeCell ref="P20:Q20"/>
    <mergeCell ref="R20:S20"/>
    <mergeCell ref="B19:C19"/>
    <mergeCell ref="D19:E19"/>
    <mergeCell ref="F19:G19"/>
    <mergeCell ref="H19:I19"/>
    <mergeCell ref="J19:K19"/>
    <mergeCell ref="L19:M19"/>
    <mergeCell ref="N19:O19"/>
    <mergeCell ref="P19:Q19"/>
    <mergeCell ref="R19:S19"/>
    <mergeCell ref="B18:C18"/>
    <mergeCell ref="D18:E18"/>
    <mergeCell ref="F18:G18"/>
    <mergeCell ref="H18:I18"/>
    <mergeCell ref="J18:K18"/>
    <mergeCell ref="L18:M18"/>
    <mergeCell ref="N18:O18"/>
    <mergeCell ref="P18:Q18"/>
    <mergeCell ref="R18:S18"/>
    <mergeCell ref="B17:C17"/>
    <mergeCell ref="D17:E17"/>
    <mergeCell ref="F17:G17"/>
    <mergeCell ref="H17:I17"/>
    <mergeCell ref="J17:K17"/>
    <mergeCell ref="L17:M17"/>
    <mergeCell ref="N17:O17"/>
    <mergeCell ref="P17:Q17"/>
    <mergeCell ref="R17:S17"/>
    <mergeCell ref="B16:C16"/>
    <mergeCell ref="D16:E16"/>
    <mergeCell ref="F16:G16"/>
    <mergeCell ref="H16:I16"/>
    <mergeCell ref="J16:K16"/>
    <mergeCell ref="L16:M16"/>
    <mergeCell ref="N16:O16"/>
    <mergeCell ref="P16:Q16"/>
    <mergeCell ref="R16:S16"/>
    <mergeCell ref="B15:C15"/>
    <mergeCell ref="D15:E15"/>
    <mergeCell ref="F15:G15"/>
    <mergeCell ref="H15:I15"/>
    <mergeCell ref="J15:K15"/>
    <mergeCell ref="L15:M15"/>
    <mergeCell ref="N15:O15"/>
    <mergeCell ref="P15:Q15"/>
    <mergeCell ref="R15:S15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B13:C13"/>
    <mergeCell ref="D13:E13"/>
    <mergeCell ref="F13:G13"/>
    <mergeCell ref="H13:I13"/>
    <mergeCell ref="J13:K13"/>
    <mergeCell ref="L13:M13"/>
    <mergeCell ref="N13:O13"/>
    <mergeCell ref="P13:Q13"/>
    <mergeCell ref="R13:S13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B7:C7"/>
    <mergeCell ref="D7:E7"/>
    <mergeCell ref="F7:G7"/>
    <mergeCell ref="H7:I7"/>
    <mergeCell ref="J7:K7"/>
    <mergeCell ref="L7:M7"/>
    <mergeCell ref="N7:O7"/>
    <mergeCell ref="P7:Q7"/>
    <mergeCell ref="R7:S7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A1:M1"/>
    <mergeCell ref="P1:S1"/>
    <mergeCell ref="A2:S2"/>
    <mergeCell ref="A3:C3"/>
    <mergeCell ref="D3:G3"/>
    <mergeCell ref="J3:L3"/>
    <mergeCell ref="M3:S3"/>
    <mergeCell ref="B4:S4"/>
    <mergeCell ref="B5:S5"/>
  </mergeCells>
  <phoneticPr fontId="31" type="noConversion"/>
  <printOptions horizontalCentered="1"/>
  <pageMargins left="0.55118110236220497" right="0.55118110236220497" top="0.31496062992126" bottom="0.196850393700787" header="0.511811023622047" footer="0.511811023622047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U43"/>
  <sheetViews>
    <sheetView topLeftCell="A3" workbookViewId="0">
      <selection activeCell="F18" sqref="F18:G18"/>
    </sheetView>
  </sheetViews>
  <sheetFormatPr defaultColWidth="9" defaultRowHeight="15" x14ac:dyDescent="0.25"/>
  <cols>
    <col min="1" max="1" width="24.58203125" customWidth="1"/>
    <col min="2" max="19" width="5.58203125" customWidth="1"/>
  </cols>
  <sheetData>
    <row r="1" spans="1:21" ht="17.5" x14ac:dyDescent="0.25">
      <c r="A1" s="79" t="s">
        <v>59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80" t="s">
        <v>1</v>
      </c>
      <c r="O1" s="80"/>
      <c r="P1" s="80"/>
      <c r="Q1" s="80"/>
      <c r="R1" s="80"/>
      <c r="S1" s="80"/>
      <c r="T1" s="80"/>
      <c r="U1" s="80"/>
    </row>
    <row r="2" spans="1:21" ht="23" x14ac:dyDescent="0.25">
      <c r="A2" s="81" t="s">
        <v>2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</row>
    <row r="3" spans="1:21" ht="19" customHeight="1" x14ac:dyDescent="0.25">
      <c r="A3" s="82" t="s">
        <v>60</v>
      </c>
      <c r="B3" s="82"/>
      <c r="C3" s="82"/>
      <c r="D3" s="82"/>
      <c r="E3" s="82"/>
      <c r="F3" s="82"/>
      <c r="G3" s="82"/>
      <c r="H3" s="20" t="s">
        <v>4</v>
      </c>
      <c r="J3" s="83" t="s">
        <v>5</v>
      </c>
      <c r="K3" s="83"/>
      <c r="L3" s="83"/>
      <c r="M3" s="84" t="s">
        <v>61</v>
      </c>
      <c r="N3" s="84"/>
      <c r="O3" s="84"/>
      <c r="P3" s="84"/>
      <c r="Q3" s="84"/>
      <c r="R3" s="84"/>
      <c r="S3" s="84"/>
    </row>
    <row r="4" spans="1:21" ht="19" customHeight="1" x14ac:dyDescent="0.25">
      <c r="A4" s="21" t="s">
        <v>7</v>
      </c>
      <c r="B4" s="85"/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7"/>
    </row>
    <row r="5" spans="1:21" ht="19" customHeight="1" x14ac:dyDescent="0.25">
      <c r="A5" s="21" t="s">
        <v>9</v>
      </c>
      <c r="B5" s="85" t="s">
        <v>10</v>
      </c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7"/>
    </row>
    <row r="6" spans="1:21" ht="18" customHeight="1" x14ac:dyDescent="0.25">
      <c r="A6" s="21" t="s">
        <v>11</v>
      </c>
      <c r="B6" s="100"/>
      <c r="C6" s="101"/>
      <c r="D6" s="100"/>
      <c r="E6" s="101"/>
      <c r="F6" s="100"/>
      <c r="G6" s="101"/>
      <c r="H6" s="100"/>
      <c r="I6" s="101"/>
      <c r="J6" s="100"/>
      <c r="K6" s="101"/>
      <c r="L6" s="85"/>
      <c r="M6" s="87"/>
      <c r="N6" s="85"/>
      <c r="O6" s="87"/>
      <c r="P6" s="85"/>
      <c r="Q6" s="87"/>
      <c r="R6" s="85"/>
      <c r="S6" s="87"/>
    </row>
    <row r="7" spans="1:21" ht="18" customHeight="1" x14ac:dyDescent="0.25">
      <c r="A7" s="21" t="s">
        <v>62</v>
      </c>
      <c r="B7" s="100"/>
      <c r="C7" s="101"/>
      <c r="D7" s="100"/>
      <c r="E7" s="101"/>
      <c r="F7" s="100"/>
      <c r="G7" s="101"/>
      <c r="H7" s="100"/>
      <c r="I7" s="101"/>
      <c r="J7" s="100"/>
      <c r="K7" s="101"/>
      <c r="L7" s="85"/>
      <c r="M7" s="87"/>
      <c r="N7" s="85"/>
      <c r="O7" s="87"/>
      <c r="P7" s="85"/>
      <c r="Q7" s="87"/>
      <c r="R7" s="85"/>
      <c r="S7" s="87"/>
    </row>
    <row r="8" spans="1:21" ht="18" customHeight="1" x14ac:dyDescent="0.25">
      <c r="A8" s="21" t="s">
        <v>24</v>
      </c>
      <c r="B8" s="102">
        <v>1</v>
      </c>
      <c r="C8" s="102"/>
      <c r="D8" s="100">
        <v>2</v>
      </c>
      <c r="E8" s="101"/>
      <c r="F8" s="100">
        <v>3</v>
      </c>
      <c r="G8" s="101"/>
      <c r="H8" s="103">
        <v>4</v>
      </c>
      <c r="I8" s="104"/>
      <c r="J8" s="103">
        <v>5</v>
      </c>
      <c r="K8" s="104"/>
      <c r="L8" s="105">
        <v>6</v>
      </c>
      <c r="M8" s="106"/>
      <c r="N8" s="105">
        <v>7</v>
      </c>
      <c r="O8" s="106"/>
      <c r="P8" s="85">
        <v>8</v>
      </c>
      <c r="Q8" s="87"/>
      <c r="R8" s="85">
        <v>9</v>
      </c>
      <c r="S8" s="87"/>
    </row>
    <row r="9" spans="1:21" ht="18" customHeight="1" x14ac:dyDescent="0.25">
      <c r="A9" s="21" t="s">
        <v>25</v>
      </c>
      <c r="B9" s="107">
        <v>8839</v>
      </c>
      <c r="C9" s="107"/>
      <c r="D9" s="107">
        <v>8330</v>
      </c>
      <c r="E9" s="107"/>
      <c r="F9" s="107">
        <v>8287</v>
      </c>
      <c r="G9" s="107"/>
      <c r="H9" s="108">
        <v>8412</v>
      </c>
      <c r="I9" s="108"/>
      <c r="J9" s="108">
        <v>8457</v>
      </c>
      <c r="K9" s="108"/>
      <c r="L9" s="108">
        <v>8631</v>
      </c>
      <c r="M9" s="108"/>
      <c r="N9" s="108">
        <v>8592</v>
      </c>
      <c r="O9" s="108"/>
      <c r="P9" s="108">
        <v>8674</v>
      </c>
      <c r="Q9" s="108"/>
      <c r="R9" s="108">
        <v>8539</v>
      </c>
      <c r="S9" s="108"/>
    </row>
    <row r="10" spans="1:21" ht="18" customHeight="1" x14ac:dyDescent="0.25">
      <c r="A10" s="21" t="s">
        <v>26</v>
      </c>
      <c r="B10" s="109">
        <v>5762</v>
      </c>
      <c r="C10" s="110"/>
      <c r="D10" s="109">
        <v>5939</v>
      </c>
      <c r="E10" s="110"/>
      <c r="F10" s="109">
        <v>6070</v>
      </c>
      <c r="G10" s="110"/>
      <c r="H10" s="111">
        <v>5904</v>
      </c>
      <c r="I10" s="112"/>
      <c r="J10" s="111">
        <v>6018</v>
      </c>
      <c r="K10" s="112"/>
      <c r="L10" s="111">
        <v>5680</v>
      </c>
      <c r="M10" s="112"/>
      <c r="N10" s="111">
        <v>6022</v>
      </c>
      <c r="O10" s="112"/>
      <c r="P10" s="111">
        <v>5912</v>
      </c>
      <c r="Q10" s="112"/>
      <c r="R10" s="111">
        <v>5768</v>
      </c>
      <c r="S10" s="112"/>
    </row>
    <row r="11" spans="1:21" ht="26.25" customHeight="1" x14ac:dyDescent="0.25">
      <c r="A11" s="23" t="s">
        <v>27</v>
      </c>
      <c r="B11" s="113">
        <f>B43</f>
        <v>730</v>
      </c>
      <c r="C11" s="113"/>
      <c r="D11" s="113">
        <f>D43</f>
        <v>730</v>
      </c>
      <c r="E11" s="113"/>
      <c r="F11" s="113">
        <f>F43</f>
        <v>730</v>
      </c>
      <c r="G11" s="113"/>
      <c r="H11" s="91">
        <f>H43</f>
        <v>730</v>
      </c>
      <c r="I11" s="91"/>
      <c r="J11" s="91">
        <f>J43</f>
        <v>730</v>
      </c>
      <c r="K11" s="91"/>
      <c r="L11" s="91">
        <f>L43</f>
        <v>730</v>
      </c>
      <c r="M11" s="91"/>
      <c r="N11" s="91">
        <f>N43</f>
        <v>730</v>
      </c>
      <c r="O11" s="91"/>
      <c r="P11" s="91">
        <f>P43</f>
        <v>730</v>
      </c>
      <c r="Q11" s="91"/>
      <c r="R11" s="91">
        <f>R43</f>
        <v>730</v>
      </c>
      <c r="S11" s="91"/>
    </row>
    <row r="12" spans="1:21" ht="18" customHeight="1" x14ac:dyDescent="0.25">
      <c r="A12" s="21" t="s">
        <v>28</v>
      </c>
      <c r="B12" s="114">
        <f>B9-B10-B11</f>
        <v>2347</v>
      </c>
      <c r="C12" s="114"/>
      <c r="D12" s="114">
        <f>D9-D10-D11</f>
        <v>1661</v>
      </c>
      <c r="E12" s="114"/>
      <c r="F12" s="114">
        <f>F9-F10-F11</f>
        <v>1487</v>
      </c>
      <c r="G12" s="114"/>
      <c r="H12" s="115">
        <f>H9-H10-H11</f>
        <v>1778</v>
      </c>
      <c r="I12" s="115"/>
      <c r="J12" s="115">
        <f>J9-J10-J11</f>
        <v>1709</v>
      </c>
      <c r="K12" s="115"/>
      <c r="L12" s="115">
        <f>L9-L10-L11</f>
        <v>2221</v>
      </c>
      <c r="M12" s="115"/>
      <c r="N12" s="115">
        <f>N9-N10-N11</f>
        <v>1840</v>
      </c>
      <c r="O12" s="115"/>
      <c r="P12" s="115">
        <f>P9-P10-P11</f>
        <v>2032</v>
      </c>
      <c r="Q12" s="115"/>
      <c r="R12" s="115">
        <f>R9-R10-R11</f>
        <v>2041</v>
      </c>
      <c r="S12" s="115"/>
    </row>
    <row r="13" spans="1:21" ht="18" customHeight="1" x14ac:dyDescent="0.25">
      <c r="A13" s="21" t="s">
        <v>29</v>
      </c>
      <c r="B13" s="116">
        <v>1.43</v>
      </c>
      <c r="C13" s="116"/>
      <c r="D13" s="116">
        <v>1.43</v>
      </c>
      <c r="E13" s="116"/>
      <c r="F13" s="116">
        <v>1.43</v>
      </c>
      <c r="G13" s="116"/>
      <c r="H13" s="117">
        <v>1.43</v>
      </c>
      <c r="I13" s="117"/>
      <c r="J13" s="117">
        <v>1.43</v>
      </c>
      <c r="K13" s="117"/>
      <c r="L13" s="117">
        <v>1.43</v>
      </c>
      <c r="M13" s="117"/>
      <c r="N13" s="117">
        <v>1.43</v>
      </c>
      <c r="O13" s="117"/>
      <c r="P13" s="117">
        <v>1.43</v>
      </c>
      <c r="Q13" s="117"/>
      <c r="R13" s="117">
        <v>1.43</v>
      </c>
      <c r="S13" s="117"/>
    </row>
    <row r="14" spans="1:21" ht="18" customHeight="1" x14ac:dyDescent="0.25">
      <c r="A14" s="21" t="s">
        <v>31</v>
      </c>
      <c r="B14" s="114">
        <f>ROUND(B12/B13,0)</f>
        <v>1641</v>
      </c>
      <c r="C14" s="114"/>
      <c r="D14" s="114">
        <f>ROUND(D12/D13,0)</f>
        <v>1162</v>
      </c>
      <c r="E14" s="114"/>
      <c r="F14" s="114">
        <f>ROUND(F12/F13,0)</f>
        <v>1040</v>
      </c>
      <c r="G14" s="114"/>
      <c r="H14" s="118">
        <f>ROUND(H12/H13,0)</f>
        <v>1243</v>
      </c>
      <c r="I14" s="118"/>
      <c r="J14" s="118">
        <f>ROUND(J12/J13,0)</f>
        <v>1195</v>
      </c>
      <c r="K14" s="118"/>
      <c r="L14" s="118">
        <f>ROUND(L12/L13,0)</f>
        <v>1553</v>
      </c>
      <c r="M14" s="118"/>
      <c r="N14" s="118">
        <f>ROUND(N12/N13,0)</f>
        <v>1287</v>
      </c>
      <c r="O14" s="118"/>
      <c r="P14" s="118">
        <f>ROUND(P12/P13,0)</f>
        <v>1421</v>
      </c>
      <c r="Q14" s="118"/>
      <c r="R14" s="118">
        <f>ROUND(R12/R13,0)</f>
        <v>1427</v>
      </c>
      <c r="S14" s="118"/>
    </row>
    <row r="15" spans="1:21" ht="18" customHeight="1" x14ac:dyDescent="0.25">
      <c r="A15" s="21" t="s">
        <v>32</v>
      </c>
      <c r="B15" s="107">
        <v>2812</v>
      </c>
      <c r="C15" s="107"/>
      <c r="D15" s="107">
        <v>2604</v>
      </c>
      <c r="E15" s="107"/>
      <c r="F15" s="107">
        <v>2323</v>
      </c>
      <c r="G15" s="107"/>
      <c r="H15" s="108">
        <v>2952</v>
      </c>
      <c r="I15" s="108"/>
      <c r="J15" s="108">
        <v>2845</v>
      </c>
      <c r="K15" s="108"/>
      <c r="L15" s="108">
        <v>2836</v>
      </c>
      <c r="M15" s="108"/>
      <c r="N15" s="108">
        <v>3028</v>
      </c>
      <c r="O15" s="108"/>
      <c r="P15" s="108">
        <v>2769</v>
      </c>
      <c r="Q15" s="108"/>
      <c r="R15" s="108">
        <v>3120</v>
      </c>
      <c r="S15" s="108"/>
    </row>
    <row r="16" spans="1:21" ht="18" customHeight="1" x14ac:dyDescent="0.25">
      <c r="A16" s="21" t="s">
        <v>33</v>
      </c>
      <c r="B16" s="114">
        <f>ROUND(B15/B14,3)</f>
        <v>1.714</v>
      </c>
      <c r="C16" s="114"/>
      <c r="D16" s="114">
        <f>ROUND(D15/D14,3)</f>
        <v>2.2410000000000001</v>
      </c>
      <c r="E16" s="114"/>
      <c r="F16" s="114">
        <f>ROUND(F15/F14,3)</f>
        <v>2.234</v>
      </c>
      <c r="G16" s="114"/>
      <c r="H16" s="119">
        <f>ROUND(H15/H14,3)</f>
        <v>2.375</v>
      </c>
      <c r="I16" s="119"/>
      <c r="J16" s="119">
        <f>ROUND(J15/J14,3)</f>
        <v>2.3809999999999998</v>
      </c>
      <c r="K16" s="119"/>
      <c r="L16" s="119">
        <f>ROUND(L15/L14,3)</f>
        <v>1.8260000000000001</v>
      </c>
      <c r="M16" s="119"/>
      <c r="N16" s="119">
        <f>ROUND(N15/N14,3)</f>
        <v>2.3530000000000002</v>
      </c>
      <c r="O16" s="119"/>
      <c r="P16" s="119">
        <f>ROUND(P15/P14,3)</f>
        <v>1.9490000000000001</v>
      </c>
      <c r="Q16" s="119"/>
      <c r="R16" s="119">
        <f>ROUND(R15/R14,3)</f>
        <v>2.1859999999999999</v>
      </c>
      <c r="S16" s="119"/>
    </row>
    <row r="17" spans="1:19" ht="18" customHeight="1" x14ac:dyDescent="0.25">
      <c r="A17" s="21" t="s">
        <v>34</v>
      </c>
      <c r="B17" s="120">
        <v>8</v>
      </c>
      <c r="C17" s="121"/>
      <c r="D17" s="120">
        <v>10</v>
      </c>
      <c r="E17" s="121"/>
      <c r="F17" s="120">
        <v>5</v>
      </c>
      <c r="G17" s="121"/>
      <c r="H17" s="122">
        <v>20</v>
      </c>
      <c r="I17" s="123"/>
      <c r="J17" s="122">
        <v>5</v>
      </c>
      <c r="K17" s="123"/>
      <c r="L17" s="122">
        <v>15</v>
      </c>
      <c r="M17" s="123"/>
      <c r="N17" s="122">
        <v>13</v>
      </c>
      <c r="O17" s="123"/>
      <c r="P17" s="122">
        <v>9</v>
      </c>
      <c r="Q17" s="123"/>
      <c r="R17" s="122">
        <v>3</v>
      </c>
      <c r="S17" s="123"/>
    </row>
    <row r="18" spans="1:19" ht="18" customHeight="1" x14ac:dyDescent="0.25">
      <c r="A18" s="21" t="s">
        <v>35</v>
      </c>
      <c r="B18" s="124">
        <v>377</v>
      </c>
      <c r="C18" s="125"/>
      <c r="D18" s="124">
        <v>381</v>
      </c>
      <c r="E18" s="125"/>
      <c r="F18" s="124">
        <v>375</v>
      </c>
      <c r="G18" s="125"/>
      <c r="H18" s="126">
        <v>365</v>
      </c>
      <c r="I18" s="127"/>
      <c r="J18" s="128">
        <v>397</v>
      </c>
      <c r="K18" s="129"/>
      <c r="L18" s="126">
        <v>388</v>
      </c>
      <c r="M18" s="127"/>
      <c r="N18" s="126">
        <v>377</v>
      </c>
      <c r="O18" s="127"/>
      <c r="P18" s="126">
        <v>386</v>
      </c>
      <c r="Q18" s="127"/>
      <c r="R18" s="126">
        <v>392</v>
      </c>
      <c r="S18" s="127"/>
    </row>
    <row r="19" spans="1:19" ht="18" customHeight="1" x14ac:dyDescent="0.25">
      <c r="A19" s="21" t="s">
        <v>36</v>
      </c>
      <c r="B19" s="109">
        <v>2512</v>
      </c>
      <c r="C19" s="110"/>
      <c r="D19" s="109">
        <v>2418</v>
      </c>
      <c r="E19" s="110"/>
      <c r="F19" s="109">
        <v>2314</v>
      </c>
      <c r="G19" s="110"/>
      <c r="H19" s="111">
        <v>2736</v>
      </c>
      <c r="I19" s="112"/>
      <c r="J19" s="130">
        <v>2652</v>
      </c>
      <c r="K19" s="131"/>
      <c r="L19" s="111">
        <v>2711</v>
      </c>
      <c r="M19" s="112"/>
      <c r="N19" s="111">
        <v>2651</v>
      </c>
      <c r="O19" s="112"/>
      <c r="P19" s="111">
        <v>2531</v>
      </c>
      <c r="Q19" s="112"/>
      <c r="R19" s="111">
        <v>2762</v>
      </c>
      <c r="S19" s="112"/>
    </row>
    <row r="20" spans="1:19" ht="18" customHeight="1" x14ac:dyDescent="0.25">
      <c r="A20" s="21" t="s">
        <v>37</v>
      </c>
      <c r="B20" s="109">
        <v>2368</v>
      </c>
      <c r="C20" s="110"/>
      <c r="D20" s="109">
        <v>2275</v>
      </c>
      <c r="E20" s="110"/>
      <c r="F20" s="109">
        <v>2170</v>
      </c>
      <c r="G20" s="110"/>
      <c r="H20" s="111">
        <v>2564</v>
      </c>
      <c r="I20" s="112"/>
      <c r="J20" s="130">
        <v>2468</v>
      </c>
      <c r="K20" s="131"/>
      <c r="L20" s="111">
        <v>2531</v>
      </c>
      <c r="M20" s="112"/>
      <c r="N20" s="111">
        <v>2462</v>
      </c>
      <c r="O20" s="112"/>
      <c r="P20" s="111">
        <v>2356</v>
      </c>
      <c r="Q20" s="112"/>
      <c r="R20" s="111">
        <v>2586</v>
      </c>
      <c r="S20" s="112"/>
    </row>
    <row r="21" spans="1:19" s="17" customFormat="1" ht="18" customHeight="1" x14ac:dyDescent="0.25">
      <c r="A21" s="24" t="s">
        <v>38</v>
      </c>
      <c r="B21" s="124">
        <f>ROUND((B19-B20)/(B20-B18)*100,1)</f>
        <v>7.2</v>
      </c>
      <c r="C21" s="125"/>
      <c r="D21" s="124">
        <f>ROUND((D19-D20)/(D20-D18)*100,1)</f>
        <v>7.6</v>
      </c>
      <c r="E21" s="125"/>
      <c r="F21" s="124">
        <f>ROUND((F19-F20)/(F20-F18)*100,1)</f>
        <v>8</v>
      </c>
      <c r="G21" s="125"/>
      <c r="H21" s="124">
        <f>ROUND((H19-H20)/(H20-H18)*100,1)</f>
        <v>7.8</v>
      </c>
      <c r="I21" s="125"/>
      <c r="J21" s="124">
        <f>ROUND((J19-J20)/(J20-J18)*100,1)</f>
        <v>8.9</v>
      </c>
      <c r="K21" s="125"/>
      <c r="L21" s="124">
        <f>ROUND((L19-L20)/(L20-L18)*100,1)</f>
        <v>8.4</v>
      </c>
      <c r="M21" s="125"/>
      <c r="N21" s="124">
        <f>ROUND((N19-N20)/(N20-N18)*100,1)</f>
        <v>9.1</v>
      </c>
      <c r="O21" s="125"/>
      <c r="P21" s="124">
        <f>ROUND((P19-P20)/(P20-P18)*100,1)</f>
        <v>8.9</v>
      </c>
      <c r="Q21" s="125"/>
      <c r="R21" s="124">
        <f>ROUND((R19-R20)/(R20-R18)*100,1)</f>
        <v>8</v>
      </c>
      <c r="S21" s="125"/>
    </row>
    <row r="22" spans="1:19" s="17" customFormat="1" ht="18" customHeight="1" x14ac:dyDescent="0.25">
      <c r="A22" s="24" t="s">
        <v>39</v>
      </c>
      <c r="B22" s="114">
        <f>ROUND(B16/(1+0.01*B21),3)</f>
        <v>1.599</v>
      </c>
      <c r="C22" s="114"/>
      <c r="D22" s="114">
        <f>ROUND(D16/(1+0.01*D21),3)</f>
        <v>2.0830000000000002</v>
      </c>
      <c r="E22" s="114"/>
      <c r="F22" s="114">
        <f>ROUND(F16/(1+0.01*F21),3)</f>
        <v>2.069</v>
      </c>
      <c r="G22" s="114"/>
      <c r="H22" s="114">
        <f>ROUND(H16/(1+0.01*H21),3)</f>
        <v>2.2029999999999998</v>
      </c>
      <c r="I22" s="114"/>
      <c r="J22" s="114">
        <f>ROUND(J16/(1+0.01*J21),3)</f>
        <v>2.1859999999999999</v>
      </c>
      <c r="K22" s="114"/>
      <c r="L22" s="114">
        <f>ROUND(L16/(1+0.01*L21),3)</f>
        <v>1.6850000000000001</v>
      </c>
      <c r="M22" s="114"/>
      <c r="N22" s="114">
        <f>ROUND(N16/(1+0.01*N21),3)</f>
        <v>2.157</v>
      </c>
      <c r="O22" s="114"/>
      <c r="P22" s="114">
        <f>ROUND(P16/(1+0.01*P21),3)</f>
        <v>1.79</v>
      </c>
      <c r="Q22" s="114"/>
      <c r="R22" s="114">
        <f>ROUND(R16/(1+0.01*R21),3)</f>
        <v>2.024</v>
      </c>
      <c r="S22" s="114"/>
    </row>
    <row r="23" spans="1:19" ht="18" customHeight="1" x14ac:dyDescent="0.25">
      <c r="A23" s="21" t="s">
        <v>40</v>
      </c>
      <c r="B23" s="132">
        <v>2.1800000000000002</v>
      </c>
      <c r="C23" s="132"/>
      <c r="D23" s="132">
        <v>2.1800000000000002</v>
      </c>
      <c r="E23" s="132"/>
      <c r="F23" s="132">
        <v>2.1800000000000002</v>
      </c>
      <c r="G23" s="132"/>
      <c r="H23" s="133">
        <v>1.84</v>
      </c>
      <c r="I23" s="133"/>
      <c r="J23" s="133">
        <v>1.84</v>
      </c>
      <c r="K23" s="133"/>
      <c r="L23" s="133">
        <v>1.84</v>
      </c>
      <c r="M23" s="133"/>
      <c r="N23" s="133">
        <v>1.84</v>
      </c>
      <c r="O23" s="133"/>
      <c r="P23" s="133">
        <v>1.84</v>
      </c>
      <c r="Q23" s="133"/>
      <c r="R23" s="133">
        <v>1.84</v>
      </c>
      <c r="S23" s="133"/>
    </row>
    <row r="24" spans="1:19" s="17" customFormat="1" ht="18" customHeight="1" x14ac:dyDescent="0.25">
      <c r="A24" s="24" t="s">
        <v>41</v>
      </c>
      <c r="B24" s="114">
        <f>B22/B23*100</f>
        <v>73.348623853210995</v>
      </c>
      <c r="C24" s="114"/>
      <c r="D24" s="114">
        <f>D22/D23*100</f>
        <v>95.550458715596307</v>
      </c>
      <c r="E24" s="114"/>
      <c r="F24" s="114">
        <f>F22/F23*100</f>
        <v>94.908256880733902</v>
      </c>
      <c r="G24" s="114"/>
      <c r="H24" s="114">
        <f>H22/H23*100</f>
        <v>119.72826086956501</v>
      </c>
      <c r="I24" s="114"/>
      <c r="J24" s="114">
        <f>J22/J23*100</f>
        <v>118.804347826087</v>
      </c>
      <c r="K24" s="114"/>
      <c r="L24" s="114">
        <f>L22/L23*100</f>
        <v>91.576086956521706</v>
      </c>
      <c r="M24" s="114"/>
      <c r="N24" s="114">
        <f>N22/N23*100</f>
        <v>117.22826086956501</v>
      </c>
      <c r="O24" s="114"/>
      <c r="P24" s="114">
        <f>P22/P23*100</f>
        <v>97.2826086956522</v>
      </c>
      <c r="Q24" s="114"/>
      <c r="R24" s="114">
        <f>R22/R23*100</f>
        <v>110</v>
      </c>
      <c r="S24" s="114"/>
    </row>
    <row r="25" spans="1:19" ht="18" customHeight="1" x14ac:dyDescent="0.25">
      <c r="A25" s="21" t="s">
        <v>42</v>
      </c>
      <c r="B25" s="85" t="s">
        <v>43</v>
      </c>
      <c r="C25" s="86"/>
      <c r="D25" s="86"/>
      <c r="E25" s="86"/>
      <c r="F25" s="86"/>
      <c r="G25" s="86"/>
      <c r="H25" s="86"/>
      <c r="I25" s="86"/>
      <c r="J25" s="86"/>
      <c r="K25" s="86"/>
      <c r="L25" s="86"/>
      <c r="M25" s="86"/>
      <c r="N25" s="86"/>
      <c r="O25" s="86"/>
      <c r="P25" s="86"/>
      <c r="Q25" s="86"/>
      <c r="R25" s="86"/>
      <c r="S25" s="87"/>
    </row>
    <row r="26" spans="1:19" ht="18" customHeight="1" x14ac:dyDescent="0.25">
      <c r="A26" s="21" t="s">
        <v>44</v>
      </c>
      <c r="B26" s="85" t="s">
        <v>45</v>
      </c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7"/>
    </row>
    <row r="27" spans="1:19" ht="18" customHeight="1" x14ac:dyDescent="0.25">
      <c r="A27" s="21" t="s">
        <v>46</v>
      </c>
      <c r="B27" s="85"/>
      <c r="C27" s="86"/>
      <c r="D27" s="86"/>
      <c r="E27" s="86"/>
      <c r="F27" s="86"/>
      <c r="G27" s="86"/>
      <c r="H27" s="86"/>
      <c r="I27" s="86"/>
      <c r="J27" s="86"/>
      <c r="K27" s="86"/>
      <c r="L27" s="86"/>
      <c r="M27" s="86"/>
      <c r="N27" s="86"/>
      <c r="O27" s="86"/>
      <c r="P27" s="86"/>
      <c r="Q27" s="86"/>
      <c r="R27" s="86"/>
      <c r="S27" s="87"/>
    </row>
    <row r="28" spans="1:19" ht="19" customHeight="1" x14ac:dyDescent="0.25">
      <c r="A28" s="28" t="s">
        <v>47</v>
      </c>
      <c r="F28" s="20" t="s">
        <v>48</v>
      </c>
      <c r="K28" s="99" t="s">
        <v>49</v>
      </c>
      <c r="L28" s="99"/>
    </row>
    <row r="29" spans="1:19" ht="19" customHeight="1" x14ac:dyDescent="0.25"/>
    <row r="30" spans="1:19" ht="19" customHeight="1" x14ac:dyDescent="0.25">
      <c r="J30" t="s">
        <v>63</v>
      </c>
    </row>
    <row r="31" spans="1:19" ht="19" customHeight="1" x14ac:dyDescent="0.25"/>
    <row r="32" spans="1:19" ht="19" customHeight="1" x14ac:dyDescent="0.25">
      <c r="A32" s="29" t="s">
        <v>25</v>
      </c>
      <c r="B32" s="91">
        <v>9000</v>
      </c>
      <c r="C32" s="91"/>
      <c r="D32" s="91">
        <v>9000</v>
      </c>
      <c r="E32" s="91"/>
      <c r="F32" s="91">
        <v>9000</v>
      </c>
      <c r="G32" s="91"/>
      <c r="H32" s="91">
        <v>9000</v>
      </c>
      <c r="I32" s="91"/>
      <c r="J32" s="91">
        <v>9000</v>
      </c>
      <c r="K32" s="91"/>
      <c r="L32" s="91">
        <v>9000</v>
      </c>
      <c r="M32" s="91"/>
      <c r="N32" s="91">
        <v>9000</v>
      </c>
      <c r="O32" s="91"/>
      <c r="P32" s="91">
        <v>9000</v>
      </c>
      <c r="Q32" s="91"/>
      <c r="R32" s="91">
        <v>9000</v>
      </c>
      <c r="S32" s="91"/>
    </row>
    <row r="33" spans="1:19" ht="19" customHeight="1" x14ac:dyDescent="0.25">
      <c r="A33" s="30" t="s">
        <v>52</v>
      </c>
      <c r="B33" s="111">
        <v>8646</v>
      </c>
      <c r="C33" s="112"/>
      <c r="D33" s="111">
        <v>8826</v>
      </c>
      <c r="E33" s="112"/>
      <c r="F33" s="111">
        <v>8876</v>
      </c>
      <c r="G33" s="112"/>
      <c r="H33" s="111">
        <v>8872</v>
      </c>
      <c r="I33" s="112"/>
      <c r="J33" s="111">
        <v>8890</v>
      </c>
      <c r="K33" s="112"/>
      <c r="L33" s="100">
        <v>8491</v>
      </c>
      <c r="M33" s="101"/>
      <c r="N33" s="100">
        <v>8454</v>
      </c>
      <c r="O33" s="101"/>
      <c r="P33" s="100">
        <v>8443</v>
      </c>
      <c r="Q33" s="101"/>
      <c r="R33" s="100">
        <v>8461</v>
      </c>
      <c r="S33" s="101"/>
    </row>
    <row r="34" spans="1:19" ht="19" customHeight="1" x14ac:dyDescent="0.25">
      <c r="A34" s="30" t="s">
        <v>53</v>
      </c>
      <c r="B34" s="89">
        <f>B32-B33</f>
        <v>354</v>
      </c>
      <c r="C34" s="90"/>
      <c r="D34" s="89">
        <f>D32-D33</f>
        <v>174</v>
      </c>
      <c r="E34" s="90"/>
      <c r="F34" s="89">
        <f>F32-F33</f>
        <v>124</v>
      </c>
      <c r="G34" s="90"/>
      <c r="H34" s="89">
        <f>H32-H33</f>
        <v>128</v>
      </c>
      <c r="I34" s="90"/>
      <c r="J34" s="89">
        <f>J32-J33</f>
        <v>110</v>
      </c>
      <c r="K34" s="90"/>
      <c r="L34" s="89">
        <f>L32-L33</f>
        <v>509</v>
      </c>
      <c r="M34" s="90"/>
      <c r="N34" s="89">
        <f>N32-N33</f>
        <v>546</v>
      </c>
      <c r="O34" s="90"/>
      <c r="P34" s="89">
        <f>P32-P33</f>
        <v>557</v>
      </c>
      <c r="Q34" s="90"/>
      <c r="R34" s="89">
        <f>R32-R33</f>
        <v>539</v>
      </c>
      <c r="S34" s="90"/>
    </row>
    <row r="35" spans="1:19" ht="19" customHeight="1" x14ac:dyDescent="0.25">
      <c r="A35" s="21" t="s">
        <v>26</v>
      </c>
      <c r="B35" s="111">
        <v>6061</v>
      </c>
      <c r="C35" s="112"/>
      <c r="D35" s="111">
        <v>6328</v>
      </c>
      <c r="E35" s="112"/>
      <c r="F35" s="111">
        <v>6426</v>
      </c>
      <c r="G35" s="112"/>
      <c r="H35" s="111">
        <v>6373</v>
      </c>
      <c r="I35" s="112"/>
      <c r="J35" s="111">
        <v>5754</v>
      </c>
      <c r="K35" s="112"/>
      <c r="L35" s="100">
        <v>6150</v>
      </c>
      <c r="M35" s="101"/>
      <c r="N35" s="100">
        <v>6062</v>
      </c>
      <c r="O35" s="101"/>
      <c r="P35" s="100">
        <v>5990</v>
      </c>
      <c r="Q35" s="101"/>
      <c r="R35" s="100">
        <v>5930</v>
      </c>
      <c r="S35" s="101"/>
    </row>
    <row r="36" spans="1:19" ht="19" customHeight="1" x14ac:dyDescent="0.25">
      <c r="A36" s="21" t="s">
        <v>64</v>
      </c>
      <c r="B36" s="89">
        <f>B34+B35</f>
        <v>6415</v>
      </c>
      <c r="C36" s="90"/>
      <c r="D36" s="89">
        <f>D34+D35</f>
        <v>6502</v>
      </c>
      <c r="E36" s="90"/>
      <c r="F36" s="89">
        <f>F34+F35</f>
        <v>6550</v>
      </c>
      <c r="G36" s="90"/>
      <c r="H36" s="89">
        <f>H34+H35</f>
        <v>6501</v>
      </c>
      <c r="I36" s="90"/>
      <c r="J36" s="89">
        <f>J34+J35</f>
        <v>5864</v>
      </c>
      <c r="K36" s="90"/>
      <c r="L36" s="89">
        <f>L34+L35</f>
        <v>6659</v>
      </c>
      <c r="M36" s="90"/>
      <c r="N36" s="89">
        <f>N34+N35</f>
        <v>6608</v>
      </c>
      <c r="O36" s="90"/>
      <c r="P36" s="89">
        <f>P34+P35</f>
        <v>6547</v>
      </c>
      <c r="Q36" s="90"/>
      <c r="R36" s="89">
        <f>R34+R35</f>
        <v>6469</v>
      </c>
      <c r="S36" s="90"/>
    </row>
    <row r="37" spans="1:19" ht="19" customHeight="1" x14ac:dyDescent="0.25">
      <c r="A37" s="31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</row>
    <row r="38" spans="1:19" ht="19" customHeight="1" x14ac:dyDescent="0.25">
      <c r="A38" s="22" t="s">
        <v>56</v>
      </c>
    </row>
    <row r="39" spans="1:19" ht="19" customHeight="1" x14ac:dyDescent="0.25">
      <c r="A39" s="33" t="s">
        <v>51</v>
      </c>
      <c r="B39" s="134">
        <v>8752</v>
      </c>
      <c r="C39" s="135"/>
      <c r="D39" s="134">
        <v>8752</v>
      </c>
      <c r="E39" s="135"/>
      <c r="F39" s="134">
        <v>8752</v>
      </c>
      <c r="G39" s="135"/>
      <c r="H39" s="134">
        <v>8752</v>
      </c>
      <c r="I39" s="135"/>
      <c r="J39" s="134">
        <v>8752</v>
      </c>
      <c r="K39" s="135"/>
      <c r="L39" s="134">
        <v>8752</v>
      </c>
      <c r="M39" s="135"/>
      <c r="N39" s="134">
        <v>8752</v>
      </c>
      <c r="O39" s="135"/>
      <c r="P39" s="134">
        <v>8752</v>
      </c>
      <c r="Q39" s="135"/>
      <c r="R39" s="134">
        <v>8752</v>
      </c>
      <c r="S39" s="135"/>
    </row>
    <row r="40" spans="1:19" ht="19" customHeight="1" x14ac:dyDescent="0.25">
      <c r="A40" s="33" t="s">
        <v>54</v>
      </c>
      <c r="B40" s="134">
        <v>8022</v>
      </c>
      <c r="C40" s="135"/>
      <c r="D40" s="134">
        <v>8022</v>
      </c>
      <c r="E40" s="135"/>
      <c r="F40" s="134">
        <v>8022</v>
      </c>
      <c r="G40" s="135"/>
      <c r="H40" s="134">
        <v>8022</v>
      </c>
      <c r="I40" s="135"/>
      <c r="J40" s="134">
        <v>8022</v>
      </c>
      <c r="K40" s="135"/>
      <c r="L40" s="134">
        <v>8022</v>
      </c>
      <c r="M40" s="135"/>
      <c r="N40" s="134">
        <v>8022</v>
      </c>
      <c r="O40" s="135"/>
      <c r="P40" s="134">
        <v>8022</v>
      </c>
      <c r="Q40" s="135"/>
      <c r="R40" s="134">
        <v>8022</v>
      </c>
      <c r="S40" s="135"/>
    </row>
    <row r="41" spans="1:19" x14ac:dyDescent="0.25">
      <c r="A41" s="33" t="s">
        <v>57</v>
      </c>
      <c r="B41" s="136">
        <v>710</v>
      </c>
      <c r="C41" s="136"/>
      <c r="D41" s="136">
        <v>710</v>
      </c>
      <c r="E41" s="136"/>
      <c r="F41" s="136">
        <v>710</v>
      </c>
      <c r="G41" s="136"/>
      <c r="H41" s="136">
        <v>710</v>
      </c>
      <c r="I41" s="136"/>
      <c r="J41" s="136">
        <v>710</v>
      </c>
      <c r="K41" s="136"/>
      <c r="L41" s="136">
        <v>710</v>
      </c>
      <c r="M41" s="136"/>
      <c r="N41" s="136">
        <v>710</v>
      </c>
      <c r="O41" s="136"/>
      <c r="P41" s="136">
        <v>710</v>
      </c>
      <c r="Q41" s="136"/>
      <c r="R41" s="136">
        <v>710</v>
      </c>
      <c r="S41" s="136"/>
    </row>
    <row r="42" spans="1:19" x14ac:dyDescent="0.25">
      <c r="A42" s="33" t="s">
        <v>58</v>
      </c>
      <c r="B42" s="103">
        <f>B39-B40-B41</f>
        <v>20</v>
      </c>
      <c r="C42" s="104"/>
      <c r="D42" s="103">
        <f>D39-D40-D41</f>
        <v>20</v>
      </c>
      <c r="E42" s="104"/>
      <c r="F42" s="103">
        <f>F39-F40-F41</f>
        <v>20</v>
      </c>
      <c r="G42" s="104"/>
      <c r="H42" s="103">
        <f>H39-H40-H41</f>
        <v>20</v>
      </c>
      <c r="I42" s="104"/>
      <c r="J42" s="103">
        <f>J39-J40-J41</f>
        <v>20</v>
      </c>
      <c r="K42" s="104"/>
      <c r="L42" s="103">
        <f>L39-L40-L41</f>
        <v>20</v>
      </c>
      <c r="M42" s="104"/>
      <c r="N42" s="103">
        <f>N39-N40-N41</f>
        <v>20</v>
      </c>
      <c r="O42" s="104"/>
      <c r="P42" s="103">
        <f>P39-P40-P41</f>
        <v>20</v>
      </c>
      <c r="Q42" s="104"/>
      <c r="R42" s="103">
        <f>R39-R40-R41</f>
        <v>20</v>
      </c>
      <c r="S42" s="104"/>
    </row>
    <row r="43" spans="1:19" ht="26.25" customHeight="1" x14ac:dyDescent="0.25">
      <c r="A43" s="23" t="s">
        <v>27</v>
      </c>
      <c r="B43" s="103">
        <f>B41+B42</f>
        <v>730</v>
      </c>
      <c r="C43" s="104"/>
      <c r="D43" s="103">
        <f>D41+D42</f>
        <v>730</v>
      </c>
      <c r="E43" s="104"/>
      <c r="F43" s="103">
        <f>F41+F42</f>
        <v>730</v>
      </c>
      <c r="G43" s="104"/>
      <c r="H43" s="103">
        <f>H41+H42</f>
        <v>730</v>
      </c>
      <c r="I43" s="104"/>
      <c r="J43" s="103">
        <f>J41+J42</f>
        <v>730</v>
      </c>
      <c r="K43" s="104"/>
      <c r="L43" s="103">
        <f>L41+L42</f>
        <v>730</v>
      </c>
      <c r="M43" s="104"/>
      <c r="N43" s="103">
        <f>N41+N42</f>
        <v>730</v>
      </c>
      <c r="O43" s="104"/>
      <c r="P43" s="103">
        <f>P41+P42</f>
        <v>730</v>
      </c>
      <c r="Q43" s="104"/>
      <c r="R43" s="103">
        <f>R41+R42</f>
        <v>730</v>
      </c>
      <c r="S43" s="104"/>
    </row>
  </sheetData>
  <mergeCells count="275">
    <mergeCell ref="B43:C43"/>
    <mergeCell ref="D43:E43"/>
    <mergeCell ref="F43:G43"/>
    <mergeCell ref="H43:I43"/>
    <mergeCell ref="J43:K43"/>
    <mergeCell ref="L43:M43"/>
    <mergeCell ref="N43:O43"/>
    <mergeCell ref="P43:Q43"/>
    <mergeCell ref="R43:S43"/>
    <mergeCell ref="B42:C42"/>
    <mergeCell ref="D42:E42"/>
    <mergeCell ref="F42:G42"/>
    <mergeCell ref="H42:I42"/>
    <mergeCell ref="J42:K42"/>
    <mergeCell ref="L42:M42"/>
    <mergeCell ref="N42:O42"/>
    <mergeCell ref="P42:Q42"/>
    <mergeCell ref="R42:S42"/>
    <mergeCell ref="B41:C41"/>
    <mergeCell ref="D41:E41"/>
    <mergeCell ref="F41:G41"/>
    <mergeCell ref="H41:I41"/>
    <mergeCell ref="J41:K41"/>
    <mergeCell ref="L41:M41"/>
    <mergeCell ref="N41:O41"/>
    <mergeCell ref="P41:Q41"/>
    <mergeCell ref="R41:S41"/>
    <mergeCell ref="B40:C40"/>
    <mergeCell ref="D40:E40"/>
    <mergeCell ref="F40:G40"/>
    <mergeCell ref="H40:I40"/>
    <mergeCell ref="J40:K40"/>
    <mergeCell ref="L40:M40"/>
    <mergeCell ref="N40:O40"/>
    <mergeCell ref="P40:Q40"/>
    <mergeCell ref="R40:S40"/>
    <mergeCell ref="B39:C39"/>
    <mergeCell ref="D39:E39"/>
    <mergeCell ref="F39:G39"/>
    <mergeCell ref="H39:I39"/>
    <mergeCell ref="J39:K39"/>
    <mergeCell ref="L39:M39"/>
    <mergeCell ref="N39:O39"/>
    <mergeCell ref="P39:Q39"/>
    <mergeCell ref="R39:S39"/>
    <mergeCell ref="B36:C36"/>
    <mergeCell ref="D36:E36"/>
    <mergeCell ref="F36:G36"/>
    <mergeCell ref="H36:I36"/>
    <mergeCell ref="J36:K36"/>
    <mergeCell ref="L36:M36"/>
    <mergeCell ref="N36:O36"/>
    <mergeCell ref="P36:Q36"/>
    <mergeCell ref="R36:S36"/>
    <mergeCell ref="B35:C35"/>
    <mergeCell ref="D35:E35"/>
    <mergeCell ref="F35:G35"/>
    <mergeCell ref="H35:I35"/>
    <mergeCell ref="J35:K35"/>
    <mergeCell ref="L35:M35"/>
    <mergeCell ref="N35:O35"/>
    <mergeCell ref="P35:Q35"/>
    <mergeCell ref="R35:S35"/>
    <mergeCell ref="B34:C34"/>
    <mergeCell ref="D34:E34"/>
    <mergeCell ref="F34:G34"/>
    <mergeCell ref="H34:I34"/>
    <mergeCell ref="J34:K34"/>
    <mergeCell ref="L34:M34"/>
    <mergeCell ref="N34:O34"/>
    <mergeCell ref="P34:Q34"/>
    <mergeCell ref="R34:S34"/>
    <mergeCell ref="B33:C33"/>
    <mergeCell ref="D33:E33"/>
    <mergeCell ref="F33:G33"/>
    <mergeCell ref="H33:I33"/>
    <mergeCell ref="J33:K33"/>
    <mergeCell ref="L33:M33"/>
    <mergeCell ref="N33:O33"/>
    <mergeCell ref="P33:Q33"/>
    <mergeCell ref="R33:S33"/>
    <mergeCell ref="B25:S25"/>
    <mergeCell ref="B26:S26"/>
    <mergeCell ref="B27:S27"/>
    <mergeCell ref="K28:L28"/>
    <mergeCell ref="B32:C32"/>
    <mergeCell ref="D32:E32"/>
    <mergeCell ref="F32:G32"/>
    <mergeCell ref="H32:I32"/>
    <mergeCell ref="J32:K32"/>
    <mergeCell ref="L32:M32"/>
    <mergeCell ref="N32:O32"/>
    <mergeCell ref="P32:Q32"/>
    <mergeCell ref="R32:S32"/>
    <mergeCell ref="B24:C24"/>
    <mergeCell ref="D24:E24"/>
    <mergeCell ref="F24:G24"/>
    <mergeCell ref="H24:I24"/>
    <mergeCell ref="J24:K24"/>
    <mergeCell ref="L24:M24"/>
    <mergeCell ref="N24:O24"/>
    <mergeCell ref="P24:Q24"/>
    <mergeCell ref="R24:S24"/>
    <mergeCell ref="B23:C23"/>
    <mergeCell ref="D23:E23"/>
    <mergeCell ref="F23:G23"/>
    <mergeCell ref="H23:I23"/>
    <mergeCell ref="J23:K23"/>
    <mergeCell ref="L23:M23"/>
    <mergeCell ref="N23:O23"/>
    <mergeCell ref="P23:Q23"/>
    <mergeCell ref="R23:S23"/>
    <mergeCell ref="B22:C22"/>
    <mergeCell ref="D22:E22"/>
    <mergeCell ref="F22:G22"/>
    <mergeCell ref="H22:I22"/>
    <mergeCell ref="J22:K22"/>
    <mergeCell ref="L22:M22"/>
    <mergeCell ref="N22:O22"/>
    <mergeCell ref="P22:Q22"/>
    <mergeCell ref="R22:S22"/>
    <mergeCell ref="B21:C21"/>
    <mergeCell ref="D21:E21"/>
    <mergeCell ref="F21:G21"/>
    <mergeCell ref="H21:I21"/>
    <mergeCell ref="J21:K21"/>
    <mergeCell ref="L21:M21"/>
    <mergeCell ref="N21:O21"/>
    <mergeCell ref="P21:Q21"/>
    <mergeCell ref="R21:S21"/>
    <mergeCell ref="B20:C20"/>
    <mergeCell ref="D20:E20"/>
    <mergeCell ref="F20:G20"/>
    <mergeCell ref="H20:I20"/>
    <mergeCell ref="J20:K20"/>
    <mergeCell ref="L20:M20"/>
    <mergeCell ref="N20:O20"/>
    <mergeCell ref="P20:Q20"/>
    <mergeCell ref="R20:S20"/>
    <mergeCell ref="B19:C19"/>
    <mergeCell ref="D19:E19"/>
    <mergeCell ref="F19:G19"/>
    <mergeCell ref="H19:I19"/>
    <mergeCell ref="J19:K19"/>
    <mergeCell ref="L19:M19"/>
    <mergeCell ref="N19:O19"/>
    <mergeCell ref="P19:Q19"/>
    <mergeCell ref="R19:S19"/>
    <mergeCell ref="B18:C18"/>
    <mergeCell ref="D18:E18"/>
    <mergeCell ref="F18:G18"/>
    <mergeCell ref="H18:I18"/>
    <mergeCell ref="J18:K18"/>
    <mergeCell ref="L18:M18"/>
    <mergeCell ref="N18:O18"/>
    <mergeCell ref="P18:Q18"/>
    <mergeCell ref="R18:S18"/>
    <mergeCell ref="B17:C17"/>
    <mergeCell ref="D17:E17"/>
    <mergeCell ref="F17:G17"/>
    <mergeCell ref="H17:I17"/>
    <mergeCell ref="J17:K17"/>
    <mergeCell ref="L17:M17"/>
    <mergeCell ref="N17:O17"/>
    <mergeCell ref="P17:Q17"/>
    <mergeCell ref="R17:S17"/>
    <mergeCell ref="B16:C16"/>
    <mergeCell ref="D16:E16"/>
    <mergeCell ref="F16:G16"/>
    <mergeCell ref="H16:I16"/>
    <mergeCell ref="J16:K16"/>
    <mergeCell ref="L16:M16"/>
    <mergeCell ref="N16:O16"/>
    <mergeCell ref="P16:Q16"/>
    <mergeCell ref="R16:S16"/>
    <mergeCell ref="B15:C15"/>
    <mergeCell ref="D15:E15"/>
    <mergeCell ref="F15:G15"/>
    <mergeCell ref="H15:I15"/>
    <mergeCell ref="J15:K15"/>
    <mergeCell ref="L15:M15"/>
    <mergeCell ref="N15:O15"/>
    <mergeCell ref="P15:Q15"/>
    <mergeCell ref="R15:S15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B13:C13"/>
    <mergeCell ref="D13:E13"/>
    <mergeCell ref="F13:G13"/>
    <mergeCell ref="H13:I13"/>
    <mergeCell ref="J13:K13"/>
    <mergeCell ref="L13:M13"/>
    <mergeCell ref="N13:O13"/>
    <mergeCell ref="P13:Q13"/>
    <mergeCell ref="R13:S13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B7:C7"/>
    <mergeCell ref="D7:E7"/>
    <mergeCell ref="F7:G7"/>
    <mergeCell ref="H7:I7"/>
    <mergeCell ref="J7:K7"/>
    <mergeCell ref="L7:M7"/>
    <mergeCell ref="N7:O7"/>
    <mergeCell ref="P7:Q7"/>
    <mergeCell ref="R7:S7"/>
    <mergeCell ref="B5:S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A1:M1"/>
    <mergeCell ref="N1:Q1"/>
    <mergeCell ref="R1:U1"/>
    <mergeCell ref="A2:U2"/>
    <mergeCell ref="A3:C3"/>
    <mergeCell ref="D3:G3"/>
    <mergeCell ref="J3:L3"/>
    <mergeCell ref="M3:S3"/>
    <mergeCell ref="B4:S4"/>
  </mergeCells>
  <phoneticPr fontId="31" type="noConversion"/>
  <printOptions horizontalCentered="1"/>
  <pageMargins left="0.55118110236220497" right="0.55118110236220497" top="0.39370078740157499" bottom="0.196850393700787" header="0.511811023622047" footer="0.511811023622047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ColWidth="9" defaultRowHeight="15" x14ac:dyDescent="0.25"/>
  <sheetData/>
  <phoneticPr fontId="31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43"/>
  <sheetViews>
    <sheetView topLeftCell="A2" workbookViewId="0">
      <selection activeCell="B21" sqref="B21:C21"/>
    </sheetView>
  </sheetViews>
  <sheetFormatPr defaultColWidth="9" defaultRowHeight="15" x14ac:dyDescent="0.25"/>
  <cols>
    <col min="1" max="1" width="24.58203125" customWidth="1"/>
    <col min="2" max="19" width="5.58203125" customWidth="1"/>
    <col min="22" max="22" width="9.33203125"/>
  </cols>
  <sheetData>
    <row r="1" spans="1:23" ht="17.5" x14ac:dyDescent="0.25">
      <c r="A1" s="79" t="s">
        <v>59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80" t="s">
        <v>1</v>
      </c>
      <c r="O1" s="80"/>
      <c r="P1" s="80"/>
      <c r="Q1" s="80"/>
      <c r="R1" s="80"/>
      <c r="S1" s="80"/>
      <c r="T1" s="80"/>
      <c r="U1" s="80"/>
    </row>
    <row r="2" spans="1:23" ht="23" x14ac:dyDescent="0.25">
      <c r="A2" s="81" t="s">
        <v>2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</row>
    <row r="3" spans="1:23" ht="19" customHeight="1" x14ac:dyDescent="0.25">
      <c r="A3" s="82" t="s">
        <v>60</v>
      </c>
      <c r="B3" s="82"/>
      <c r="C3" s="82"/>
      <c r="D3" s="82"/>
      <c r="E3" s="82"/>
      <c r="F3" s="82"/>
      <c r="G3" s="82"/>
      <c r="H3" s="20" t="s">
        <v>4</v>
      </c>
      <c r="J3" s="83" t="s">
        <v>5</v>
      </c>
      <c r="K3" s="83"/>
      <c r="L3" s="83"/>
      <c r="M3" s="84" t="s">
        <v>61</v>
      </c>
      <c r="N3" s="84"/>
      <c r="O3" s="84"/>
      <c r="P3" s="84"/>
      <c r="Q3" s="84"/>
      <c r="R3" s="84"/>
      <c r="S3" s="84"/>
      <c r="V3">
        <v>1</v>
      </c>
      <c r="W3">
        <v>380</v>
      </c>
    </row>
    <row r="4" spans="1:23" ht="19" customHeight="1" x14ac:dyDescent="0.25">
      <c r="A4" s="21" t="s">
        <v>7</v>
      </c>
      <c r="B4" s="85"/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7"/>
      <c r="V4">
        <v>2</v>
      </c>
      <c r="W4">
        <v>375</v>
      </c>
    </row>
    <row r="5" spans="1:23" ht="19" customHeight="1" x14ac:dyDescent="0.25">
      <c r="A5" s="21" t="s">
        <v>9</v>
      </c>
      <c r="B5" s="85" t="s">
        <v>10</v>
      </c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7"/>
      <c r="V5">
        <v>3</v>
      </c>
      <c r="W5">
        <v>371</v>
      </c>
    </row>
    <row r="6" spans="1:23" ht="18" customHeight="1" x14ac:dyDescent="0.25">
      <c r="A6" s="21" t="s">
        <v>11</v>
      </c>
      <c r="B6" s="100"/>
      <c r="C6" s="101"/>
      <c r="D6" s="100"/>
      <c r="E6" s="101"/>
      <c r="F6" s="100"/>
      <c r="G6" s="101"/>
      <c r="H6" s="100"/>
      <c r="I6" s="101"/>
      <c r="J6" s="100"/>
      <c r="K6" s="101"/>
      <c r="L6" s="85"/>
      <c r="M6" s="87"/>
      <c r="N6" s="85"/>
      <c r="O6" s="87"/>
      <c r="P6" s="85"/>
      <c r="Q6" s="87"/>
      <c r="R6" s="85"/>
      <c r="S6" s="87"/>
      <c r="V6">
        <v>4</v>
      </c>
      <c r="W6">
        <v>364</v>
      </c>
    </row>
    <row r="7" spans="1:23" ht="18" customHeight="1" x14ac:dyDescent="0.25">
      <c r="A7" s="21" t="s">
        <v>62</v>
      </c>
      <c r="B7" s="100"/>
      <c r="C7" s="101"/>
      <c r="D7" s="100"/>
      <c r="E7" s="101"/>
      <c r="F7" s="100"/>
      <c r="G7" s="101"/>
      <c r="H7" s="100"/>
      <c r="I7" s="101"/>
      <c r="J7" s="100"/>
      <c r="K7" s="101"/>
      <c r="L7" s="85"/>
      <c r="M7" s="87"/>
      <c r="N7" s="85"/>
      <c r="O7" s="87"/>
      <c r="P7" s="85"/>
      <c r="Q7" s="87"/>
      <c r="R7" s="85"/>
      <c r="S7" s="87"/>
      <c r="V7">
        <v>5</v>
      </c>
      <c r="W7">
        <v>372</v>
      </c>
    </row>
    <row r="8" spans="1:23" ht="18" customHeight="1" x14ac:dyDescent="0.25">
      <c r="A8" s="21" t="s">
        <v>24</v>
      </c>
      <c r="B8" s="102">
        <v>1</v>
      </c>
      <c r="C8" s="102"/>
      <c r="D8" s="100">
        <v>2</v>
      </c>
      <c r="E8" s="101"/>
      <c r="F8" s="100">
        <v>3</v>
      </c>
      <c r="G8" s="101"/>
      <c r="H8" s="103">
        <v>4</v>
      </c>
      <c r="I8" s="104"/>
      <c r="J8" s="103">
        <v>5</v>
      </c>
      <c r="K8" s="104"/>
      <c r="L8" s="105">
        <v>6</v>
      </c>
      <c r="M8" s="106"/>
      <c r="N8" s="105">
        <v>7</v>
      </c>
      <c r="O8" s="106"/>
      <c r="P8" s="85">
        <v>8</v>
      </c>
      <c r="Q8" s="87"/>
      <c r="R8" s="85">
        <v>9</v>
      </c>
      <c r="S8" s="87"/>
      <c r="V8">
        <v>6</v>
      </c>
      <c r="W8">
        <v>368</v>
      </c>
    </row>
    <row r="9" spans="1:23" ht="18" customHeight="1" x14ac:dyDescent="0.25">
      <c r="A9" s="21" t="s">
        <v>25</v>
      </c>
      <c r="B9" s="137">
        <v>8331</v>
      </c>
      <c r="C9" s="137"/>
      <c r="D9" s="137">
        <v>8324</v>
      </c>
      <c r="E9" s="137"/>
      <c r="F9" s="137">
        <v>8320</v>
      </c>
      <c r="G9" s="137"/>
      <c r="H9" s="137">
        <v>8318</v>
      </c>
      <c r="I9" s="137"/>
      <c r="J9" s="137">
        <v>8312</v>
      </c>
      <c r="K9" s="137"/>
      <c r="L9" s="137">
        <v>8312</v>
      </c>
      <c r="M9" s="137"/>
      <c r="N9" s="137">
        <v>8311</v>
      </c>
      <c r="O9" s="137"/>
      <c r="P9" s="137">
        <v>8308</v>
      </c>
      <c r="Q9" s="137"/>
      <c r="R9" s="137">
        <v>8301</v>
      </c>
      <c r="S9" s="137"/>
      <c r="V9">
        <v>7</v>
      </c>
      <c r="W9">
        <v>388</v>
      </c>
    </row>
    <row r="10" spans="1:23" ht="18" customHeight="1" x14ac:dyDescent="0.25">
      <c r="A10" s="21" t="s">
        <v>26</v>
      </c>
      <c r="B10" s="130">
        <v>5771</v>
      </c>
      <c r="C10" s="131"/>
      <c r="D10" s="130">
        <v>5638</v>
      </c>
      <c r="E10" s="131"/>
      <c r="F10" s="130">
        <v>5812</v>
      </c>
      <c r="G10" s="131"/>
      <c r="H10" s="130">
        <v>5845</v>
      </c>
      <c r="I10" s="131"/>
      <c r="J10" s="130">
        <v>5738</v>
      </c>
      <c r="K10" s="131"/>
      <c r="L10" s="130">
        <v>5700</v>
      </c>
      <c r="M10" s="131"/>
      <c r="N10" s="130">
        <v>5904</v>
      </c>
      <c r="O10" s="131"/>
      <c r="P10" s="130">
        <v>5836</v>
      </c>
      <c r="Q10" s="131"/>
      <c r="R10" s="130">
        <v>5712</v>
      </c>
      <c r="S10" s="131"/>
      <c r="V10">
        <v>8</v>
      </c>
      <c r="W10">
        <v>359</v>
      </c>
    </row>
    <row r="11" spans="1:23" ht="26.25" customHeight="1" x14ac:dyDescent="0.25">
      <c r="A11" s="23" t="s">
        <v>27</v>
      </c>
      <c r="B11" s="92">
        <f t="shared" ref="B11:F11" si="0">B43</f>
        <v>730</v>
      </c>
      <c r="C11" s="92"/>
      <c r="D11" s="92">
        <f t="shared" si="0"/>
        <v>730</v>
      </c>
      <c r="E11" s="92"/>
      <c r="F11" s="92">
        <f t="shared" si="0"/>
        <v>730</v>
      </c>
      <c r="G11" s="92"/>
      <c r="H11" s="92">
        <f t="shared" ref="H11:L11" si="1">H43</f>
        <v>730</v>
      </c>
      <c r="I11" s="92"/>
      <c r="J11" s="92">
        <f t="shared" si="1"/>
        <v>730</v>
      </c>
      <c r="K11" s="92"/>
      <c r="L11" s="92">
        <f t="shared" si="1"/>
        <v>730</v>
      </c>
      <c r="M11" s="92"/>
      <c r="N11" s="92">
        <f t="shared" ref="N11:R11" si="2">N43</f>
        <v>730</v>
      </c>
      <c r="O11" s="92"/>
      <c r="P11" s="92">
        <f t="shared" si="2"/>
        <v>730</v>
      </c>
      <c r="Q11" s="92"/>
      <c r="R11" s="92">
        <f t="shared" si="2"/>
        <v>730</v>
      </c>
      <c r="S11" s="92"/>
      <c r="V11">
        <v>9</v>
      </c>
      <c r="W11">
        <v>376</v>
      </c>
    </row>
    <row r="12" spans="1:23" ht="18" customHeight="1" x14ac:dyDescent="0.25">
      <c r="A12" s="21" t="s">
        <v>28</v>
      </c>
      <c r="B12" s="118">
        <f t="shared" ref="B12:F12" si="3">B9-B10-B11</f>
        <v>1830</v>
      </c>
      <c r="C12" s="118"/>
      <c r="D12" s="118">
        <f t="shared" si="3"/>
        <v>1956</v>
      </c>
      <c r="E12" s="118"/>
      <c r="F12" s="118">
        <f t="shared" si="3"/>
        <v>1778</v>
      </c>
      <c r="G12" s="118"/>
      <c r="H12" s="118">
        <f t="shared" ref="H12:L12" si="4">H9-H10-H11</f>
        <v>1743</v>
      </c>
      <c r="I12" s="118"/>
      <c r="J12" s="118">
        <f t="shared" si="4"/>
        <v>1844</v>
      </c>
      <c r="K12" s="118"/>
      <c r="L12" s="118">
        <f t="shared" si="4"/>
        <v>1882</v>
      </c>
      <c r="M12" s="118"/>
      <c r="N12" s="118">
        <f t="shared" ref="N12:R12" si="5">N9-N10-N11</f>
        <v>1677</v>
      </c>
      <c r="O12" s="118"/>
      <c r="P12" s="118">
        <f t="shared" si="5"/>
        <v>1742</v>
      </c>
      <c r="Q12" s="118"/>
      <c r="R12" s="118">
        <f t="shared" si="5"/>
        <v>1859</v>
      </c>
      <c r="S12" s="118"/>
      <c r="V12">
        <v>10</v>
      </c>
      <c r="W12">
        <v>377</v>
      </c>
    </row>
    <row r="13" spans="1:23" ht="18" customHeight="1" x14ac:dyDescent="0.25">
      <c r="A13" s="21" t="s">
        <v>29</v>
      </c>
      <c r="B13" s="117">
        <v>1.43</v>
      </c>
      <c r="C13" s="117"/>
      <c r="D13" s="117">
        <v>1.43</v>
      </c>
      <c r="E13" s="117"/>
      <c r="F13" s="117">
        <v>1.43</v>
      </c>
      <c r="G13" s="117"/>
      <c r="H13" s="117">
        <v>1.43</v>
      </c>
      <c r="I13" s="117"/>
      <c r="J13" s="117">
        <v>1.43</v>
      </c>
      <c r="K13" s="117"/>
      <c r="L13" s="117">
        <v>1.43</v>
      </c>
      <c r="M13" s="117"/>
      <c r="N13" s="117">
        <v>1.43</v>
      </c>
      <c r="O13" s="117"/>
      <c r="P13" s="117">
        <v>1.43</v>
      </c>
      <c r="Q13" s="117"/>
      <c r="R13" s="117">
        <v>1.43</v>
      </c>
      <c r="S13" s="117"/>
      <c r="V13">
        <v>11</v>
      </c>
      <c r="W13">
        <v>368</v>
      </c>
    </row>
    <row r="14" spans="1:23" ht="18" customHeight="1" x14ac:dyDescent="0.25">
      <c r="A14" s="21" t="s">
        <v>31</v>
      </c>
      <c r="B14" s="138" cm="1">
        <f t="array" ref="B14">foursix(B12/B13,0)</f>
        <v>1280</v>
      </c>
      <c r="C14" s="118"/>
      <c r="D14" s="138" cm="1">
        <f t="array" ref="D14">foursix(D12/D13,0)</f>
        <v>1368</v>
      </c>
      <c r="E14" s="118"/>
      <c r="F14" s="138" cm="1">
        <f t="array" ref="F14">foursix(F12/F13,0)</f>
        <v>1243</v>
      </c>
      <c r="G14" s="118"/>
      <c r="H14" s="138" cm="1">
        <f t="array" ref="H14">foursix(H12/H13,0)</f>
        <v>1219</v>
      </c>
      <c r="I14" s="118"/>
      <c r="J14" s="138" cm="1">
        <f t="array" ref="J14">foursix(J12/J13,0)</f>
        <v>1290</v>
      </c>
      <c r="K14" s="118"/>
      <c r="L14" s="138" cm="1">
        <f t="array" ref="L14">foursix(L12/L13,0)</f>
        <v>1316</v>
      </c>
      <c r="M14" s="118"/>
      <c r="N14" s="138" cm="1">
        <f t="array" ref="N14">foursix(N12/N13,0)</f>
        <v>1173</v>
      </c>
      <c r="O14" s="118"/>
      <c r="P14" s="138" cm="1">
        <f t="array" ref="P14">foursix(P12/P13,0)</f>
        <v>1218</v>
      </c>
      <c r="Q14" s="118"/>
      <c r="R14" s="138" cm="1">
        <f t="array" ref="R14">foursix(R12/R13,0)</f>
        <v>1300</v>
      </c>
      <c r="S14" s="118"/>
      <c r="V14">
        <v>12</v>
      </c>
      <c r="W14">
        <v>369</v>
      </c>
    </row>
    <row r="15" spans="1:23" ht="18" customHeight="1" x14ac:dyDescent="0.25">
      <c r="A15" s="21" t="s">
        <v>32</v>
      </c>
      <c r="B15" s="137">
        <v>2512</v>
      </c>
      <c r="C15" s="137"/>
      <c r="D15" s="137">
        <v>2637</v>
      </c>
      <c r="E15" s="137"/>
      <c r="F15" s="137">
        <v>2451</v>
      </c>
      <c r="G15" s="137"/>
      <c r="H15" s="137">
        <v>2398</v>
      </c>
      <c r="I15" s="137"/>
      <c r="J15" s="137">
        <v>2515</v>
      </c>
      <c r="K15" s="137"/>
      <c r="L15" s="137">
        <v>2534</v>
      </c>
      <c r="M15" s="137"/>
      <c r="N15" s="137">
        <v>2289</v>
      </c>
      <c r="O15" s="137"/>
      <c r="P15" s="137">
        <v>2415</v>
      </c>
      <c r="Q15" s="137"/>
      <c r="R15" s="137">
        <v>2508</v>
      </c>
      <c r="S15" s="137"/>
      <c r="V15">
        <v>13</v>
      </c>
      <c r="W15">
        <v>367</v>
      </c>
    </row>
    <row r="16" spans="1:23" ht="18" customHeight="1" x14ac:dyDescent="0.25">
      <c r="A16" s="21" t="s">
        <v>33</v>
      </c>
      <c r="B16" s="119" cm="1">
        <f t="array" ref="B16">foursix(B15/B14,2)</f>
        <v>1.96</v>
      </c>
      <c r="C16" s="119"/>
      <c r="D16" s="119" cm="1">
        <f t="array" ref="D16">foursix(D15/D14,2)</f>
        <v>1.93</v>
      </c>
      <c r="E16" s="119"/>
      <c r="F16" s="119" cm="1">
        <f t="array" ref="F16">foursix(F15/F14,2)</f>
        <v>1.97</v>
      </c>
      <c r="G16" s="119"/>
      <c r="H16" s="119" cm="1">
        <f t="array" ref="H16">foursix(H15/H14,2)</f>
        <v>1.97</v>
      </c>
      <c r="I16" s="119"/>
      <c r="J16" s="119" cm="1">
        <f t="array" ref="J16">foursix(J15/J14,2)</f>
        <v>1.95</v>
      </c>
      <c r="K16" s="119"/>
      <c r="L16" s="119" cm="1">
        <f t="array" ref="L16">foursix(L15/L14,2)</f>
        <v>1.93</v>
      </c>
      <c r="M16" s="119"/>
      <c r="N16" s="119" cm="1">
        <f t="array" ref="N16">foursix(N15/N14,2)</f>
        <v>1.95</v>
      </c>
      <c r="O16" s="119"/>
      <c r="P16" s="119" cm="1">
        <f t="array" ref="P16">foursix(P15/P14,2)</f>
        <v>1.98</v>
      </c>
      <c r="Q16" s="119"/>
      <c r="R16" s="119" cm="1">
        <f t="array" ref="R16">foursix(R15/R14,2)</f>
        <v>1.93</v>
      </c>
      <c r="S16" s="119"/>
      <c r="V16">
        <v>14</v>
      </c>
      <c r="W16">
        <v>382</v>
      </c>
    </row>
    <row r="17" spans="1:23" ht="18" customHeight="1" x14ac:dyDescent="0.25">
      <c r="A17" s="21" t="s">
        <v>34</v>
      </c>
      <c r="B17" s="139">
        <v>2</v>
      </c>
      <c r="C17" s="140"/>
      <c r="D17" s="139">
        <v>1</v>
      </c>
      <c r="E17" s="140"/>
      <c r="F17" s="139">
        <v>4</v>
      </c>
      <c r="G17" s="140"/>
      <c r="H17" s="139">
        <v>5</v>
      </c>
      <c r="I17" s="140"/>
      <c r="J17" s="139">
        <v>7</v>
      </c>
      <c r="K17" s="140"/>
      <c r="L17" s="139">
        <v>8</v>
      </c>
      <c r="M17" s="140"/>
      <c r="N17" s="139">
        <v>12</v>
      </c>
      <c r="O17" s="140"/>
      <c r="P17" s="139">
        <v>10</v>
      </c>
      <c r="Q17" s="140"/>
      <c r="R17" s="139">
        <v>11</v>
      </c>
      <c r="S17" s="140"/>
      <c r="V17">
        <v>15</v>
      </c>
      <c r="W17">
        <v>374</v>
      </c>
    </row>
    <row r="18" spans="1:23" ht="18" customHeight="1" x14ac:dyDescent="0.25">
      <c r="A18" s="21" t="s">
        <v>35</v>
      </c>
      <c r="B18" s="128" cm="1">
        <f t="array" ref="B18">INDEX($W:$W,B17+2)</f>
        <v>375</v>
      </c>
      <c r="C18" s="129"/>
      <c r="D18" s="128" cm="1">
        <f t="array" ref="D18">INDEX($W:$W,D17+2)</f>
        <v>380</v>
      </c>
      <c r="E18" s="129"/>
      <c r="F18" s="128" cm="1">
        <f t="array" ref="F18">INDEX($W:$W,F17+2)</f>
        <v>364</v>
      </c>
      <c r="G18" s="129"/>
      <c r="H18" s="128" cm="1">
        <f t="array" ref="H18">INDEX($W:$W,H17+2)</f>
        <v>372</v>
      </c>
      <c r="I18" s="129"/>
      <c r="J18" s="128" cm="1">
        <f t="array" ref="J18">INDEX($W:$W,J17+2)</f>
        <v>388</v>
      </c>
      <c r="K18" s="129"/>
      <c r="L18" s="128" cm="1">
        <f t="array" ref="L18">INDEX($W:$W,L17+2)</f>
        <v>359</v>
      </c>
      <c r="M18" s="129"/>
      <c r="N18" s="128" cm="1">
        <f t="array" ref="N18">INDEX($W:$W,N17+2)</f>
        <v>369</v>
      </c>
      <c r="O18" s="129"/>
      <c r="P18" s="128" cm="1">
        <f t="array" ref="P18">INDEX($W:$W,P17+2)</f>
        <v>377</v>
      </c>
      <c r="Q18" s="129"/>
      <c r="R18" s="128" cm="1">
        <f t="array" ref="R18">INDEX($W:$W,R17+2)</f>
        <v>368</v>
      </c>
      <c r="S18" s="129"/>
    </row>
    <row r="19" spans="1:23" ht="18" customHeight="1" x14ac:dyDescent="0.25">
      <c r="A19" s="21" t="s">
        <v>36</v>
      </c>
      <c r="B19" s="141">
        <v>2877</v>
      </c>
      <c r="C19" s="142"/>
      <c r="D19" s="141">
        <v>3010</v>
      </c>
      <c r="E19" s="142"/>
      <c r="F19" s="141">
        <v>2814</v>
      </c>
      <c r="G19" s="142"/>
      <c r="H19" s="141">
        <v>2766</v>
      </c>
      <c r="I19" s="142"/>
      <c r="J19" s="141">
        <v>2891</v>
      </c>
      <c r="K19" s="142"/>
      <c r="L19" s="141">
        <v>2889</v>
      </c>
      <c r="M19" s="142"/>
      <c r="N19" s="141">
        <v>2651</v>
      </c>
      <c r="O19" s="142"/>
      <c r="P19" s="141">
        <v>2781</v>
      </c>
      <c r="Q19" s="142"/>
      <c r="R19" s="141">
        <v>2874</v>
      </c>
      <c r="S19" s="142"/>
    </row>
    <row r="20" spans="1:23" ht="18" customHeight="1" x14ac:dyDescent="0.25">
      <c r="A20" s="21" t="s">
        <v>37</v>
      </c>
      <c r="B20" s="130">
        <v>2617</v>
      </c>
      <c r="C20" s="131"/>
      <c r="D20" s="130">
        <v>2715</v>
      </c>
      <c r="E20" s="131"/>
      <c r="F20" s="130">
        <v>2578</v>
      </c>
      <c r="G20" s="131"/>
      <c r="H20" s="130">
        <v>2536</v>
      </c>
      <c r="I20" s="131"/>
      <c r="J20" s="130">
        <v>2656</v>
      </c>
      <c r="K20" s="131"/>
      <c r="L20" s="130">
        <v>2659</v>
      </c>
      <c r="M20" s="131"/>
      <c r="N20" s="130">
        <v>2405</v>
      </c>
      <c r="O20" s="131"/>
      <c r="P20" s="130">
        <v>2512</v>
      </c>
      <c r="Q20" s="131"/>
      <c r="R20" s="130">
        <v>2629</v>
      </c>
      <c r="S20" s="131"/>
    </row>
    <row r="21" spans="1:23" s="17" customFormat="1" ht="18" customHeight="1" x14ac:dyDescent="0.25">
      <c r="A21" s="24" t="s">
        <v>38</v>
      </c>
      <c r="B21" s="143" cm="1">
        <f t="array" ref="B21">foursix((B19-B20)/(B20-B18)*100,1)</f>
        <v>11.6</v>
      </c>
      <c r="C21" s="144"/>
      <c r="D21" s="143" cm="1">
        <f t="array" ref="D21">foursix((D19-D20)/(D20-D18)*100,1)</f>
        <v>12.6</v>
      </c>
      <c r="E21" s="144"/>
      <c r="F21" s="143" cm="1">
        <f t="array" ref="F21">foursix((F19-F20)/(F20-F18)*100,1)</f>
        <v>10.7</v>
      </c>
      <c r="G21" s="144"/>
      <c r="H21" s="143" cm="1">
        <f t="array" ref="H21">foursix((H19-H20)/(H20-H18)*100,1)</f>
        <v>10.6</v>
      </c>
      <c r="I21" s="144"/>
      <c r="J21" s="143" cm="1">
        <f t="array" ref="J21">foursix((J19-J20)/(J20-J18)*100,1)</f>
        <v>10.4</v>
      </c>
      <c r="K21" s="144"/>
      <c r="L21" s="143" cm="1">
        <f t="array" ref="L21">foursix((L19-L20)/(L20-L18)*100,1)</f>
        <v>10</v>
      </c>
      <c r="M21" s="144"/>
      <c r="N21" s="143" cm="1">
        <f t="array" ref="N21">foursix((N19-N20)/(N20-N18)*100,1)</f>
        <v>12.1</v>
      </c>
      <c r="O21" s="144"/>
      <c r="P21" s="143" cm="1">
        <f t="array" ref="P21">foursix((P19-P20)/(P20-P18)*100,1)</f>
        <v>12.6</v>
      </c>
      <c r="Q21" s="144"/>
      <c r="R21" s="143" cm="1">
        <f t="array" ref="R21">foursix((R19-R20)/(R20-R18)*100,1)</f>
        <v>10.8</v>
      </c>
      <c r="S21" s="144"/>
    </row>
    <row r="22" spans="1:23" s="17" customFormat="1" ht="18" customHeight="1" x14ac:dyDescent="0.25">
      <c r="A22" s="24" t="s">
        <v>39</v>
      </c>
      <c r="B22" s="119" cm="1">
        <f t="array" ref="B22">foursix(B16/(1+0.01*B21),2)</f>
        <v>1.76</v>
      </c>
      <c r="C22" s="119"/>
      <c r="D22" s="119" cm="1">
        <f t="array" ref="D22">foursix(D16/(1+0.01*D21),2)</f>
        <v>1.71</v>
      </c>
      <c r="E22" s="119"/>
      <c r="F22" s="119" cm="1">
        <f t="array" ref="F22">foursix(F16/(1+0.01*F21),2)</f>
        <v>1.78</v>
      </c>
      <c r="G22" s="119"/>
      <c r="H22" s="119" cm="1">
        <f t="array" ref="H22">foursix(H16/(1+0.01*H21),2)</f>
        <v>1.78</v>
      </c>
      <c r="I22" s="119"/>
      <c r="J22" s="119" cm="1">
        <f t="array" ref="J22">foursix(J16/(1+0.01*J21),2)</f>
        <v>1.77</v>
      </c>
      <c r="K22" s="119"/>
      <c r="L22" s="119" cm="1">
        <f t="array" ref="L22">foursix(L16/(1+0.01*L21),2)</f>
        <v>1.75</v>
      </c>
      <c r="M22" s="119"/>
      <c r="N22" s="119" cm="1">
        <f t="array" ref="N22">foursix(N16/(1+0.01*N21),2)</f>
        <v>1.74</v>
      </c>
      <c r="O22" s="119"/>
      <c r="P22" s="119" cm="1">
        <f t="array" ref="P22">foursix(P16/(1+0.01*P21),2)</f>
        <v>1.76</v>
      </c>
      <c r="Q22" s="119"/>
      <c r="R22" s="119" cm="1">
        <f t="array" ref="R22">foursix(R16/(1+0.01*R21),2)</f>
        <v>1.74</v>
      </c>
      <c r="S22" s="119"/>
    </row>
    <row r="23" spans="1:23" ht="18" customHeight="1" x14ac:dyDescent="0.25">
      <c r="A23" s="21" t="s">
        <v>40</v>
      </c>
      <c r="B23" s="145">
        <v>1.86</v>
      </c>
      <c r="C23" s="145"/>
      <c r="D23" s="145">
        <v>1.86</v>
      </c>
      <c r="E23" s="145"/>
      <c r="F23" s="145">
        <v>1.86</v>
      </c>
      <c r="G23" s="145"/>
      <c r="H23" s="145">
        <v>1.86</v>
      </c>
      <c r="I23" s="145"/>
      <c r="J23" s="145">
        <v>1.86</v>
      </c>
      <c r="K23" s="145"/>
      <c r="L23" s="145">
        <v>1.86</v>
      </c>
      <c r="M23" s="145"/>
      <c r="N23" s="145">
        <v>1.86</v>
      </c>
      <c r="O23" s="145"/>
      <c r="P23" s="145">
        <v>1.86</v>
      </c>
      <c r="Q23" s="145"/>
      <c r="R23" s="145">
        <v>1.86</v>
      </c>
      <c r="S23" s="145"/>
    </row>
    <row r="24" spans="1:23" s="18" customFormat="1" ht="18" customHeight="1" x14ac:dyDescent="0.25">
      <c r="A24" s="26" t="s">
        <v>41</v>
      </c>
      <c r="B24" s="146" cm="1">
        <f t="array" ref="B24">foursix(B22/B23*100,1)</f>
        <v>94.6</v>
      </c>
      <c r="C24" s="146"/>
      <c r="D24" s="146" cm="1">
        <f t="array" ref="D24">foursix(D22/D23*100,1)</f>
        <v>91.9</v>
      </c>
      <c r="E24" s="146"/>
      <c r="F24" s="146" cm="1">
        <f t="array" ref="F24">foursix(F22/F23*100,1)</f>
        <v>95.7</v>
      </c>
      <c r="G24" s="146"/>
      <c r="H24" s="146" cm="1">
        <f t="array" ref="H24">foursix(H22/H23*100,1)</f>
        <v>95.7</v>
      </c>
      <c r="I24" s="146"/>
      <c r="J24" s="146" cm="1">
        <f t="array" ref="J24">foursix(J22/J23*100,1)</f>
        <v>95.2</v>
      </c>
      <c r="K24" s="146"/>
      <c r="L24" s="146" cm="1">
        <f t="array" ref="L24">foursix(L22/L23*100,1)</f>
        <v>94.1</v>
      </c>
      <c r="M24" s="146"/>
      <c r="N24" s="146" cm="1">
        <f t="array" ref="N24">foursix(N22/N23*100,1)</f>
        <v>93.5</v>
      </c>
      <c r="O24" s="146"/>
      <c r="P24" s="146" cm="1">
        <f t="array" ref="P24">foursix(P22/P23*100,1)</f>
        <v>94.6</v>
      </c>
      <c r="Q24" s="146"/>
      <c r="R24" s="146" cm="1">
        <f t="array" ref="R24">foursix(R22/R23*100,1)</f>
        <v>93.5</v>
      </c>
      <c r="S24" s="146"/>
    </row>
    <row r="25" spans="1:23" ht="18" customHeight="1" x14ac:dyDescent="0.25">
      <c r="A25" s="21" t="s">
        <v>42</v>
      </c>
      <c r="B25" s="85" t="s">
        <v>43</v>
      </c>
      <c r="C25" s="86"/>
      <c r="D25" s="86"/>
      <c r="E25" s="86"/>
      <c r="F25" s="86"/>
      <c r="G25" s="86"/>
      <c r="H25" s="86"/>
      <c r="I25" s="86"/>
      <c r="J25" s="86"/>
      <c r="K25" s="86"/>
      <c r="L25" s="86"/>
      <c r="M25" s="86"/>
      <c r="N25" s="86"/>
      <c r="O25" s="86"/>
      <c r="P25" s="86"/>
      <c r="Q25" s="86"/>
      <c r="R25" s="86"/>
      <c r="S25" s="87"/>
    </row>
    <row r="26" spans="1:23" ht="18" customHeight="1" x14ac:dyDescent="0.25">
      <c r="A26" s="21" t="s">
        <v>44</v>
      </c>
      <c r="B26" s="85" t="s">
        <v>45</v>
      </c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7"/>
    </row>
    <row r="27" spans="1:23" ht="18" customHeight="1" x14ac:dyDescent="0.25">
      <c r="A27" s="21" t="s">
        <v>46</v>
      </c>
      <c r="B27" s="85"/>
      <c r="C27" s="86"/>
      <c r="D27" s="86"/>
      <c r="E27" s="86"/>
      <c r="F27" s="86"/>
      <c r="G27" s="86"/>
      <c r="H27" s="86"/>
      <c r="I27" s="86"/>
      <c r="J27" s="86"/>
      <c r="K27" s="86"/>
      <c r="L27" s="86"/>
      <c r="M27" s="86"/>
      <c r="N27" s="86"/>
      <c r="O27" s="86"/>
      <c r="P27" s="86"/>
      <c r="Q27" s="86"/>
      <c r="R27" s="86"/>
      <c r="S27" s="87"/>
      <c r="V27">
        <v>4.55</v>
      </c>
      <c r="W27" s="27">
        <f>IF(ABS(V27-INT(V27))&lt;&gt;0.5,ROUND(V27,0),IF(MOD(INT(V27),2)=0,INT(V27),INT(V27)+SIGN(V27)))</f>
        <v>5</v>
      </c>
    </row>
    <row r="28" spans="1:23" ht="19" customHeight="1" x14ac:dyDescent="0.25">
      <c r="A28" s="28" t="s">
        <v>47</v>
      </c>
      <c r="F28" s="20" t="s">
        <v>48</v>
      </c>
      <c r="K28" s="99" t="s">
        <v>49</v>
      </c>
      <c r="L28" s="99"/>
      <c r="V28">
        <v>4.6509999999999998</v>
      </c>
      <c r="W28" cm="1">
        <f t="array" ref="W28">foursix(V28,1)</f>
        <v>4.7</v>
      </c>
    </row>
    <row r="29" spans="1:23" ht="19" customHeight="1" x14ac:dyDescent="0.25"/>
    <row r="30" spans="1:23" ht="19" customHeight="1" x14ac:dyDescent="0.25">
      <c r="J30" t="s">
        <v>63</v>
      </c>
    </row>
    <row r="31" spans="1:23" ht="19" customHeight="1" x14ac:dyDescent="0.25"/>
    <row r="32" spans="1:23" ht="19" customHeight="1" x14ac:dyDescent="0.25">
      <c r="A32" s="29" t="s">
        <v>25</v>
      </c>
      <c r="B32" s="91">
        <v>9000</v>
      </c>
      <c r="C32" s="91"/>
      <c r="D32" s="91">
        <v>9000</v>
      </c>
      <c r="E32" s="91"/>
      <c r="F32" s="91">
        <v>9000</v>
      </c>
      <c r="G32" s="91"/>
      <c r="H32" s="91">
        <v>9000</v>
      </c>
      <c r="I32" s="91"/>
      <c r="J32" s="91">
        <v>9000</v>
      </c>
      <c r="K32" s="91"/>
      <c r="L32" s="91">
        <v>9000</v>
      </c>
      <c r="M32" s="91"/>
      <c r="N32" s="91">
        <v>9000</v>
      </c>
      <c r="O32" s="91"/>
      <c r="P32" s="91">
        <v>9000</v>
      </c>
      <c r="Q32" s="91"/>
      <c r="R32" s="91">
        <v>9000</v>
      </c>
      <c r="S32" s="91"/>
    </row>
    <row r="33" spans="1:19" ht="19" customHeight="1" x14ac:dyDescent="0.25">
      <c r="A33" s="30" t="s">
        <v>52</v>
      </c>
      <c r="B33" s="111">
        <v>8646</v>
      </c>
      <c r="C33" s="112"/>
      <c r="D33" s="111">
        <v>8826</v>
      </c>
      <c r="E33" s="112"/>
      <c r="F33" s="111">
        <v>8876</v>
      </c>
      <c r="G33" s="112"/>
      <c r="H33" s="111">
        <v>8872</v>
      </c>
      <c r="I33" s="112"/>
      <c r="J33" s="111">
        <v>8890</v>
      </c>
      <c r="K33" s="112"/>
      <c r="L33" s="100">
        <v>8491</v>
      </c>
      <c r="M33" s="101"/>
      <c r="N33" s="100">
        <v>8454</v>
      </c>
      <c r="O33" s="101"/>
      <c r="P33" s="100">
        <v>8443</v>
      </c>
      <c r="Q33" s="101"/>
      <c r="R33" s="100">
        <v>8461</v>
      </c>
      <c r="S33" s="101"/>
    </row>
    <row r="34" spans="1:19" ht="19" customHeight="1" x14ac:dyDescent="0.25">
      <c r="A34" s="30" t="s">
        <v>53</v>
      </c>
      <c r="B34" s="89">
        <f t="shared" ref="B34:F34" si="6">B32-B33</f>
        <v>354</v>
      </c>
      <c r="C34" s="90"/>
      <c r="D34" s="89">
        <f t="shared" si="6"/>
        <v>174</v>
      </c>
      <c r="E34" s="90"/>
      <c r="F34" s="89">
        <f t="shared" si="6"/>
        <v>124</v>
      </c>
      <c r="G34" s="90"/>
      <c r="H34" s="89">
        <f t="shared" ref="H34:L34" si="7">H32-H33</f>
        <v>128</v>
      </c>
      <c r="I34" s="90"/>
      <c r="J34" s="89">
        <f t="shared" si="7"/>
        <v>110</v>
      </c>
      <c r="K34" s="90"/>
      <c r="L34" s="89">
        <f t="shared" si="7"/>
        <v>509</v>
      </c>
      <c r="M34" s="90"/>
      <c r="N34" s="89">
        <f t="shared" ref="N34:R34" si="8">N32-N33</f>
        <v>546</v>
      </c>
      <c r="O34" s="90"/>
      <c r="P34" s="89">
        <f t="shared" si="8"/>
        <v>557</v>
      </c>
      <c r="Q34" s="90"/>
      <c r="R34" s="89">
        <f t="shared" si="8"/>
        <v>539</v>
      </c>
      <c r="S34" s="90"/>
    </row>
    <row r="35" spans="1:19" ht="19" customHeight="1" x14ac:dyDescent="0.25">
      <c r="A35" s="21" t="s">
        <v>26</v>
      </c>
      <c r="B35" s="111">
        <v>6061</v>
      </c>
      <c r="C35" s="112"/>
      <c r="D35" s="111">
        <v>6328</v>
      </c>
      <c r="E35" s="112"/>
      <c r="F35" s="111">
        <v>6426</v>
      </c>
      <c r="G35" s="112"/>
      <c r="H35" s="111">
        <v>6373</v>
      </c>
      <c r="I35" s="112"/>
      <c r="J35" s="111">
        <v>5754</v>
      </c>
      <c r="K35" s="112"/>
      <c r="L35" s="100">
        <v>6150</v>
      </c>
      <c r="M35" s="101"/>
      <c r="N35" s="100">
        <v>6062</v>
      </c>
      <c r="O35" s="101"/>
      <c r="P35" s="100">
        <v>5990</v>
      </c>
      <c r="Q35" s="101"/>
      <c r="R35" s="100">
        <v>5930</v>
      </c>
      <c r="S35" s="101"/>
    </row>
    <row r="36" spans="1:19" ht="19" customHeight="1" x14ac:dyDescent="0.25">
      <c r="A36" s="21" t="s">
        <v>64</v>
      </c>
      <c r="B36" s="89">
        <f t="shared" ref="B36:F36" si="9">B34+B35</f>
        <v>6415</v>
      </c>
      <c r="C36" s="90"/>
      <c r="D36" s="89">
        <f t="shared" si="9"/>
        <v>6502</v>
      </c>
      <c r="E36" s="90"/>
      <c r="F36" s="89">
        <f t="shared" si="9"/>
        <v>6550</v>
      </c>
      <c r="G36" s="90"/>
      <c r="H36" s="89">
        <f t="shared" ref="H36:L36" si="10">H34+H35</f>
        <v>6501</v>
      </c>
      <c r="I36" s="90"/>
      <c r="J36" s="89">
        <f t="shared" si="10"/>
        <v>5864</v>
      </c>
      <c r="K36" s="90"/>
      <c r="L36" s="89">
        <f t="shared" si="10"/>
        <v>6659</v>
      </c>
      <c r="M36" s="90"/>
      <c r="N36" s="89">
        <f t="shared" ref="N36:R36" si="11">N34+N35</f>
        <v>6608</v>
      </c>
      <c r="O36" s="90"/>
      <c r="P36" s="89">
        <f t="shared" si="11"/>
        <v>6547</v>
      </c>
      <c r="Q36" s="90"/>
      <c r="R36" s="89">
        <f t="shared" si="11"/>
        <v>6469</v>
      </c>
      <c r="S36" s="90"/>
    </row>
    <row r="37" spans="1:19" ht="19" customHeight="1" x14ac:dyDescent="0.25">
      <c r="A37" s="31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</row>
    <row r="38" spans="1:19" ht="19" customHeight="1" x14ac:dyDescent="0.25">
      <c r="A38" s="22" t="s">
        <v>56</v>
      </c>
    </row>
    <row r="39" spans="1:19" ht="19" customHeight="1" x14ac:dyDescent="0.25">
      <c r="A39" s="33" t="s">
        <v>51</v>
      </c>
      <c r="B39" s="134">
        <v>8752</v>
      </c>
      <c r="C39" s="135"/>
      <c r="D39" s="134">
        <v>8752</v>
      </c>
      <c r="E39" s="135"/>
      <c r="F39" s="134">
        <v>8752</v>
      </c>
      <c r="G39" s="135"/>
      <c r="H39" s="134">
        <v>8752</v>
      </c>
      <c r="I39" s="135"/>
      <c r="J39" s="134">
        <v>8752</v>
      </c>
      <c r="K39" s="135"/>
      <c r="L39" s="134">
        <v>8752</v>
      </c>
      <c r="M39" s="135"/>
      <c r="N39" s="134">
        <v>8752</v>
      </c>
      <c r="O39" s="135"/>
      <c r="P39" s="134">
        <v>8752</v>
      </c>
      <c r="Q39" s="135"/>
      <c r="R39" s="134">
        <v>8752</v>
      </c>
      <c r="S39" s="135"/>
    </row>
    <row r="40" spans="1:19" ht="19" customHeight="1" x14ac:dyDescent="0.25">
      <c r="A40" s="33" t="s">
        <v>54</v>
      </c>
      <c r="B40" s="134">
        <v>8022</v>
      </c>
      <c r="C40" s="135"/>
      <c r="D40" s="134">
        <v>8022</v>
      </c>
      <c r="E40" s="135"/>
      <c r="F40" s="134">
        <v>8022</v>
      </c>
      <c r="G40" s="135"/>
      <c r="H40" s="134">
        <v>8022</v>
      </c>
      <c r="I40" s="135"/>
      <c r="J40" s="134">
        <v>8022</v>
      </c>
      <c r="K40" s="135"/>
      <c r="L40" s="134">
        <v>8022</v>
      </c>
      <c r="M40" s="135"/>
      <c r="N40" s="134">
        <v>8022</v>
      </c>
      <c r="O40" s="135"/>
      <c r="P40" s="134">
        <v>8022</v>
      </c>
      <c r="Q40" s="135"/>
      <c r="R40" s="134">
        <v>8022</v>
      </c>
      <c r="S40" s="135"/>
    </row>
    <row r="41" spans="1:19" x14ac:dyDescent="0.25">
      <c r="A41" s="33" t="s">
        <v>57</v>
      </c>
      <c r="B41" s="136">
        <v>710</v>
      </c>
      <c r="C41" s="136"/>
      <c r="D41" s="136">
        <v>710</v>
      </c>
      <c r="E41" s="136"/>
      <c r="F41" s="136">
        <v>710</v>
      </c>
      <c r="G41" s="136"/>
      <c r="H41" s="136">
        <v>710</v>
      </c>
      <c r="I41" s="136"/>
      <c r="J41" s="136">
        <v>710</v>
      </c>
      <c r="K41" s="136"/>
      <c r="L41" s="136">
        <v>710</v>
      </c>
      <c r="M41" s="136"/>
      <c r="N41" s="136">
        <v>710</v>
      </c>
      <c r="O41" s="136"/>
      <c r="P41" s="136">
        <v>710</v>
      </c>
      <c r="Q41" s="136"/>
      <c r="R41" s="136">
        <v>710</v>
      </c>
      <c r="S41" s="136"/>
    </row>
    <row r="42" spans="1:19" x14ac:dyDescent="0.25">
      <c r="A42" s="33" t="s">
        <v>58</v>
      </c>
      <c r="B42" s="103">
        <f t="shared" ref="B42:F42" si="12">B39-B40-B41</f>
        <v>20</v>
      </c>
      <c r="C42" s="104"/>
      <c r="D42" s="103">
        <f t="shared" si="12"/>
        <v>20</v>
      </c>
      <c r="E42" s="104"/>
      <c r="F42" s="103">
        <f t="shared" si="12"/>
        <v>20</v>
      </c>
      <c r="G42" s="104"/>
      <c r="H42" s="103">
        <f t="shared" ref="H42:L42" si="13">H39-H40-H41</f>
        <v>20</v>
      </c>
      <c r="I42" s="104"/>
      <c r="J42" s="103">
        <f t="shared" si="13"/>
        <v>20</v>
      </c>
      <c r="K42" s="104"/>
      <c r="L42" s="103">
        <f t="shared" si="13"/>
        <v>20</v>
      </c>
      <c r="M42" s="104"/>
      <c r="N42" s="103">
        <f t="shared" ref="N42:R42" si="14">N39-N40-N41</f>
        <v>20</v>
      </c>
      <c r="O42" s="104"/>
      <c r="P42" s="103">
        <f t="shared" si="14"/>
        <v>20</v>
      </c>
      <c r="Q42" s="104"/>
      <c r="R42" s="103">
        <f t="shared" si="14"/>
        <v>20</v>
      </c>
      <c r="S42" s="104"/>
    </row>
    <row r="43" spans="1:19" ht="26.25" customHeight="1" x14ac:dyDescent="0.25">
      <c r="A43" s="23" t="s">
        <v>27</v>
      </c>
      <c r="B43" s="103">
        <f t="shared" ref="B43:F43" si="15">B41+B42</f>
        <v>730</v>
      </c>
      <c r="C43" s="104"/>
      <c r="D43" s="103">
        <f t="shared" si="15"/>
        <v>730</v>
      </c>
      <c r="E43" s="104"/>
      <c r="F43" s="103">
        <f t="shared" si="15"/>
        <v>730</v>
      </c>
      <c r="G43" s="104"/>
      <c r="H43" s="103">
        <f t="shared" ref="H43:L43" si="16">H41+H42</f>
        <v>730</v>
      </c>
      <c r="I43" s="104"/>
      <c r="J43" s="103">
        <f t="shared" si="16"/>
        <v>730</v>
      </c>
      <c r="K43" s="104"/>
      <c r="L43" s="103">
        <f t="shared" si="16"/>
        <v>730</v>
      </c>
      <c r="M43" s="104"/>
      <c r="N43" s="103">
        <f t="shared" ref="N43:R43" si="17">N41+N42</f>
        <v>730</v>
      </c>
      <c r="O43" s="104"/>
      <c r="P43" s="103">
        <f t="shared" si="17"/>
        <v>730</v>
      </c>
      <c r="Q43" s="104"/>
      <c r="R43" s="103">
        <f t="shared" si="17"/>
        <v>730</v>
      </c>
      <c r="S43" s="104"/>
    </row>
  </sheetData>
  <mergeCells count="275">
    <mergeCell ref="B43:C43"/>
    <mergeCell ref="D43:E43"/>
    <mergeCell ref="F43:G43"/>
    <mergeCell ref="H43:I43"/>
    <mergeCell ref="J43:K43"/>
    <mergeCell ref="L43:M43"/>
    <mergeCell ref="N43:O43"/>
    <mergeCell ref="P43:Q43"/>
    <mergeCell ref="R43:S43"/>
    <mergeCell ref="B42:C42"/>
    <mergeCell ref="D42:E42"/>
    <mergeCell ref="F42:G42"/>
    <mergeCell ref="H42:I42"/>
    <mergeCell ref="J42:K42"/>
    <mergeCell ref="L42:M42"/>
    <mergeCell ref="N42:O42"/>
    <mergeCell ref="P42:Q42"/>
    <mergeCell ref="R42:S42"/>
    <mergeCell ref="B41:C41"/>
    <mergeCell ref="D41:E41"/>
    <mergeCell ref="F41:G41"/>
    <mergeCell ref="H41:I41"/>
    <mergeCell ref="J41:K41"/>
    <mergeCell ref="L41:M41"/>
    <mergeCell ref="N41:O41"/>
    <mergeCell ref="P41:Q41"/>
    <mergeCell ref="R41:S41"/>
    <mergeCell ref="B40:C40"/>
    <mergeCell ref="D40:E40"/>
    <mergeCell ref="F40:G40"/>
    <mergeCell ref="H40:I40"/>
    <mergeCell ref="J40:K40"/>
    <mergeCell ref="L40:M40"/>
    <mergeCell ref="N40:O40"/>
    <mergeCell ref="P40:Q40"/>
    <mergeCell ref="R40:S40"/>
    <mergeCell ref="B39:C39"/>
    <mergeCell ref="D39:E39"/>
    <mergeCell ref="F39:G39"/>
    <mergeCell ref="H39:I39"/>
    <mergeCell ref="J39:K39"/>
    <mergeCell ref="L39:M39"/>
    <mergeCell ref="N39:O39"/>
    <mergeCell ref="P39:Q39"/>
    <mergeCell ref="R39:S39"/>
    <mergeCell ref="B36:C36"/>
    <mergeCell ref="D36:E36"/>
    <mergeCell ref="F36:G36"/>
    <mergeCell ref="H36:I36"/>
    <mergeCell ref="J36:K36"/>
    <mergeCell ref="L36:M36"/>
    <mergeCell ref="N36:O36"/>
    <mergeCell ref="P36:Q36"/>
    <mergeCell ref="R36:S36"/>
    <mergeCell ref="B35:C35"/>
    <mergeCell ref="D35:E35"/>
    <mergeCell ref="F35:G35"/>
    <mergeCell ref="H35:I35"/>
    <mergeCell ref="J35:K35"/>
    <mergeCell ref="L35:M35"/>
    <mergeCell ref="N35:O35"/>
    <mergeCell ref="P35:Q35"/>
    <mergeCell ref="R35:S35"/>
    <mergeCell ref="B34:C34"/>
    <mergeCell ref="D34:E34"/>
    <mergeCell ref="F34:G34"/>
    <mergeCell ref="H34:I34"/>
    <mergeCell ref="J34:K34"/>
    <mergeCell ref="L34:M34"/>
    <mergeCell ref="N34:O34"/>
    <mergeCell ref="P34:Q34"/>
    <mergeCell ref="R34:S34"/>
    <mergeCell ref="B33:C33"/>
    <mergeCell ref="D33:E33"/>
    <mergeCell ref="F33:G33"/>
    <mergeCell ref="H33:I33"/>
    <mergeCell ref="J33:K33"/>
    <mergeCell ref="L33:M33"/>
    <mergeCell ref="N33:O33"/>
    <mergeCell ref="P33:Q33"/>
    <mergeCell ref="R33:S33"/>
    <mergeCell ref="B25:S25"/>
    <mergeCell ref="B26:S26"/>
    <mergeCell ref="B27:S27"/>
    <mergeCell ref="K28:L28"/>
    <mergeCell ref="B32:C32"/>
    <mergeCell ref="D32:E32"/>
    <mergeCell ref="F32:G32"/>
    <mergeCell ref="H32:I32"/>
    <mergeCell ref="J32:K32"/>
    <mergeCell ref="L32:M32"/>
    <mergeCell ref="N32:O32"/>
    <mergeCell ref="P32:Q32"/>
    <mergeCell ref="R32:S32"/>
    <mergeCell ref="B24:C24"/>
    <mergeCell ref="D24:E24"/>
    <mergeCell ref="F24:G24"/>
    <mergeCell ref="H24:I24"/>
    <mergeCell ref="J24:K24"/>
    <mergeCell ref="L24:M24"/>
    <mergeCell ref="N24:O24"/>
    <mergeCell ref="P24:Q24"/>
    <mergeCell ref="R24:S24"/>
    <mergeCell ref="B23:C23"/>
    <mergeCell ref="D23:E23"/>
    <mergeCell ref="F23:G23"/>
    <mergeCell ref="H23:I23"/>
    <mergeCell ref="J23:K23"/>
    <mergeCell ref="L23:M23"/>
    <mergeCell ref="N23:O23"/>
    <mergeCell ref="P23:Q23"/>
    <mergeCell ref="R23:S23"/>
    <mergeCell ref="B22:C22"/>
    <mergeCell ref="D22:E22"/>
    <mergeCell ref="F22:G22"/>
    <mergeCell ref="H22:I22"/>
    <mergeCell ref="J22:K22"/>
    <mergeCell ref="L22:M22"/>
    <mergeCell ref="N22:O22"/>
    <mergeCell ref="P22:Q22"/>
    <mergeCell ref="R22:S22"/>
    <mergeCell ref="B21:C21"/>
    <mergeCell ref="D21:E21"/>
    <mergeCell ref="F21:G21"/>
    <mergeCell ref="H21:I21"/>
    <mergeCell ref="J21:K21"/>
    <mergeCell ref="L21:M21"/>
    <mergeCell ref="N21:O21"/>
    <mergeCell ref="P21:Q21"/>
    <mergeCell ref="R21:S21"/>
    <mergeCell ref="B20:C20"/>
    <mergeCell ref="D20:E20"/>
    <mergeCell ref="F20:G20"/>
    <mergeCell ref="H20:I20"/>
    <mergeCell ref="J20:K20"/>
    <mergeCell ref="L20:M20"/>
    <mergeCell ref="N20:O20"/>
    <mergeCell ref="P20:Q20"/>
    <mergeCell ref="R20:S20"/>
    <mergeCell ref="B19:C19"/>
    <mergeCell ref="D19:E19"/>
    <mergeCell ref="F19:G19"/>
    <mergeCell ref="H19:I19"/>
    <mergeCell ref="J19:K19"/>
    <mergeCell ref="L19:M19"/>
    <mergeCell ref="N19:O19"/>
    <mergeCell ref="P19:Q19"/>
    <mergeCell ref="R19:S19"/>
    <mergeCell ref="B18:C18"/>
    <mergeCell ref="D18:E18"/>
    <mergeCell ref="F18:G18"/>
    <mergeCell ref="H18:I18"/>
    <mergeCell ref="J18:K18"/>
    <mergeCell ref="L18:M18"/>
    <mergeCell ref="N18:O18"/>
    <mergeCell ref="P18:Q18"/>
    <mergeCell ref="R18:S18"/>
    <mergeCell ref="B17:C17"/>
    <mergeCell ref="D17:E17"/>
    <mergeCell ref="F17:G17"/>
    <mergeCell ref="H17:I17"/>
    <mergeCell ref="J17:K17"/>
    <mergeCell ref="L17:M17"/>
    <mergeCell ref="N17:O17"/>
    <mergeCell ref="P17:Q17"/>
    <mergeCell ref="R17:S17"/>
    <mergeCell ref="B16:C16"/>
    <mergeCell ref="D16:E16"/>
    <mergeCell ref="F16:G16"/>
    <mergeCell ref="H16:I16"/>
    <mergeCell ref="J16:K16"/>
    <mergeCell ref="L16:M16"/>
    <mergeCell ref="N16:O16"/>
    <mergeCell ref="P16:Q16"/>
    <mergeCell ref="R16:S16"/>
    <mergeCell ref="B15:C15"/>
    <mergeCell ref="D15:E15"/>
    <mergeCell ref="F15:G15"/>
    <mergeCell ref="H15:I15"/>
    <mergeCell ref="J15:K15"/>
    <mergeCell ref="L15:M15"/>
    <mergeCell ref="N15:O15"/>
    <mergeCell ref="P15:Q15"/>
    <mergeCell ref="R15:S15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B13:C13"/>
    <mergeCell ref="D13:E13"/>
    <mergeCell ref="F13:G13"/>
    <mergeCell ref="H13:I13"/>
    <mergeCell ref="J13:K13"/>
    <mergeCell ref="L13:M13"/>
    <mergeCell ref="N13:O13"/>
    <mergeCell ref="P13:Q13"/>
    <mergeCell ref="R13:S13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B7:C7"/>
    <mergeCell ref="D7:E7"/>
    <mergeCell ref="F7:G7"/>
    <mergeCell ref="H7:I7"/>
    <mergeCell ref="J7:K7"/>
    <mergeCell ref="L7:M7"/>
    <mergeCell ref="N7:O7"/>
    <mergeCell ref="P7:Q7"/>
    <mergeCell ref="R7:S7"/>
    <mergeCell ref="B5:S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A1:M1"/>
    <mergeCell ref="N1:Q1"/>
    <mergeCell ref="R1:U1"/>
    <mergeCell ref="A2:U2"/>
    <mergeCell ref="A3:C3"/>
    <mergeCell ref="D3:G3"/>
    <mergeCell ref="J3:L3"/>
    <mergeCell ref="M3:S3"/>
    <mergeCell ref="B4:S4"/>
  </mergeCells>
  <phoneticPr fontId="31" type="noConversion"/>
  <printOptions horizontalCentered="1"/>
  <pageMargins left="0.55118110236220497" right="0.55118110236220497" top="0.39370078740157499" bottom="0.196850393700787" header="0.511811023622047" footer="0.511811023622047"/>
  <pageSetup paperSize="9" orientation="landscape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43"/>
  <sheetViews>
    <sheetView topLeftCell="A3" workbookViewId="0">
      <selection activeCell="B15" sqref="B15:C15"/>
    </sheetView>
  </sheetViews>
  <sheetFormatPr defaultColWidth="9" defaultRowHeight="15" x14ac:dyDescent="0.25"/>
  <cols>
    <col min="1" max="1" width="24.58203125" customWidth="1"/>
    <col min="2" max="19" width="5.58203125" customWidth="1"/>
    <col min="22" max="22" width="9.33203125"/>
  </cols>
  <sheetData>
    <row r="1" spans="1:23" ht="17.5" x14ac:dyDescent="0.25">
      <c r="A1" s="79" t="s">
        <v>59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80" t="s">
        <v>1</v>
      </c>
      <c r="O1" s="80"/>
      <c r="P1" s="80"/>
      <c r="Q1" s="80"/>
      <c r="R1" s="80"/>
      <c r="S1" s="80"/>
      <c r="T1" s="80"/>
      <c r="U1" s="80"/>
    </row>
    <row r="2" spans="1:23" ht="23" x14ac:dyDescent="0.25">
      <c r="A2" s="81" t="s">
        <v>2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</row>
    <row r="3" spans="1:23" ht="19" customHeight="1" x14ac:dyDescent="0.25">
      <c r="A3" s="82" t="s">
        <v>60</v>
      </c>
      <c r="B3" s="82"/>
      <c r="C3" s="82"/>
      <c r="D3" s="82"/>
      <c r="E3" s="82"/>
      <c r="F3" s="82"/>
      <c r="G3" s="82"/>
      <c r="H3" s="20" t="s">
        <v>4</v>
      </c>
      <c r="J3" s="83" t="s">
        <v>5</v>
      </c>
      <c r="K3" s="83"/>
      <c r="L3" s="83"/>
      <c r="M3" s="84" t="s">
        <v>61</v>
      </c>
      <c r="N3" s="84"/>
      <c r="O3" s="84"/>
      <c r="P3" s="84"/>
      <c r="Q3" s="84"/>
      <c r="R3" s="84"/>
      <c r="S3" s="84"/>
      <c r="V3">
        <v>1</v>
      </c>
      <c r="W3">
        <v>380</v>
      </c>
    </row>
    <row r="4" spans="1:23" ht="19" customHeight="1" x14ac:dyDescent="0.25">
      <c r="A4" s="21" t="s">
        <v>7</v>
      </c>
      <c r="B4" s="85"/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7"/>
      <c r="V4">
        <v>2</v>
      </c>
      <c r="W4">
        <v>375</v>
      </c>
    </row>
    <row r="5" spans="1:23" ht="19" customHeight="1" x14ac:dyDescent="0.25">
      <c r="A5" s="21" t="s">
        <v>9</v>
      </c>
      <c r="B5" s="85" t="s">
        <v>10</v>
      </c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7"/>
      <c r="V5">
        <v>3</v>
      </c>
      <c r="W5">
        <v>371</v>
      </c>
    </row>
    <row r="6" spans="1:23" ht="18" customHeight="1" x14ac:dyDescent="0.25">
      <c r="A6" s="21" t="s">
        <v>11</v>
      </c>
      <c r="B6" s="100"/>
      <c r="C6" s="101"/>
      <c r="D6" s="100"/>
      <c r="E6" s="101"/>
      <c r="F6" s="100"/>
      <c r="G6" s="101"/>
      <c r="H6" s="100"/>
      <c r="I6" s="101"/>
      <c r="J6" s="100"/>
      <c r="K6" s="101"/>
      <c r="L6" s="85"/>
      <c r="M6" s="87"/>
      <c r="N6" s="85"/>
      <c r="O6" s="87"/>
      <c r="P6" s="85"/>
      <c r="Q6" s="87"/>
      <c r="R6" s="85"/>
      <c r="S6" s="87"/>
      <c r="V6">
        <v>4</v>
      </c>
      <c r="W6">
        <v>364</v>
      </c>
    </row>
    <row r="7" spans="1:23" ht="18" customHeight="1" x14ac:dyDescent="0.25">
      <c r="A7" s="21" t="s">
        <v>62</v>
      </c>
      <c r="B7" s="100"/>
      <c r="C7" s="101"/>
      <c r="D7" s="100"/>
      <c r="E7" s="101"/>
      <c r="F7" s="100"/>
      <c r="G7" s="101"/>
      <c r="H7" s="100"/>
      <c r="I7" s="101"/>
      <c r="J7" s="100"/>
      <c r="K7" s="101"/>
      <c r="L7" s="85"/>
      <c r="M7" s="87"/>
      <c r="N7" s="85"/>
      <c r="O7" s="87"/>
      <c r="P7" s="85"/>
      <c r="Q7" s="87"/>
      <c r="R7" s="85"/>
      <c r="S7" s="87"/>
      <c r="V7">
        <v>5</v>
      </c>
      <c r="W7">
        <v>372</v>
      </c>
    </row>
    <row r="8" spans="1:23" ht="18" customHeight="1" x14ac:dyDescent="0.25">
      <c r="A8" s="21" t="s">
        <v>24</v>
      </c>
      <c r="B8" s="102">
        <v>1</v>
      </c>
      <c r="C8" s="102"/>
      <c r="D8" s="100">
        <v>2</v>
      </c>
      <c r="E8" s="101"/>
      <c r="F8" s="100">
        <v>3</v>
      </c>
      <c r="G8" s="101"/>
      <c r="H8" s="103">
        <v>4</v>
      </c>
      <c r="I8" s="104"/>
      <c r="J8" s="103">
        <v>5</v>
      </c>
      <c r="K8" s="104"/>
      <c r="L8" s="105">
        <v>6</v>
      </c>
      <c r="M8" s="106"/>
      <c r="N8" s="105">
        <v>7</v>
      </c>
      <c r="O8" s="106"/>
      <c r="P8" s="85">
        <v>8</v>
      </c>
      <c r="Q8" s="87"/>
      <c r="R8" s="85">
        <v>9</v>
      </c>
      <c r="S8" s="87"/>
      <c r="V8">
        <v>6</v>
      </c>
      <c r="W8">
        <v>368</v>
      </c>
    </row>
    <row r="9" spans="1:23" ht="18" customHeight="1" x14ac:dyDescent="0.25">
      <c r="A9" s="21" t="s">
        <v>25</v>
      </c>
      <c r="B9" s="137">
        <v>8332</v>
      </c>
      <c r="C9" s="137"/>
      <c r="D9" s="137">
        <v>8332</v>
      </c>
      <c r="E9" s="137"/>
      <c r="F9" s="137">
        <v>8326</v>
      </c>
      <c r="G9" s="137"/>
      <c r="H9" s="137">
        <v>8322</v>
      </c>
      <c r="I9" s="137"/>
      <c r="J9" s="137">
        <v>8321</v>
      </c>
      <c r="K9" s="137"/>
      <c r="L9" s="137">
        <v>8321</v>
      </c>
      <c r="M9" s="137"/>
      <c r="N9" s="137">
        <v>8315</v>
      </c>
      <c r="O9" s="137"/>
      <c r="P9" s="137">
        <v>8315</v>
      </c>
      <c r="Q9" s="137"/>
      <c r="R9" s="137">
        <v>8314</v>
      </c>
      <c r="S9" s="137"/>
      <c r="V9">
        <v>7</v>
      </c>
      <c r="W9">
        <v>788</v>
      </c>
    </row>
    <row r="10" spans="1:23" ht="18" customHeight="1" x14ac:dyDescent="0.25">
      <c r="A10" s="21" t="s">
        <v>26</v>
      </c>
      <c r="B10" s="130">
        <v>5712</v>
      </c>
      <c r="C10" s="131"/>
      <c r="D10" s="130">
        <v>5649</v>
      </c>
      <c r="E10" s="131"/>
      <c r="F10" s="130">
        <v>5789</v>
      </c>
      <c r="G10" s="131"/>
      <c r="H10" s="130">
        <v>5645</v>
      </c>
      <c r="I10" s="131"/>
      <c r="J10" s="130">
        <v>5634</v>
      </c>
      <c r="K10" s="131"/>
      <c r="L10" s="130">
        <v>5680</v>
      </c>
      <c r="M10" s="131"/>
      <c r="N10" s="130">
        <v>5877</v>
      </c>
      <c r="O10" s="131"/>
      <c r="P10" s="130">
        <v>5912</v>
      </c>
      <c r="Q10" s="131"/>
      <c r="R10" s="130">
        <v>5766</v>
      </c>
      <c r="S10" s="131"/>
      <c r="V10">
        <v>8</v>
      </c>
      <c r="W10">
        <v>359</v>
      </c>
    </row>
    <row r="11" spans="1:23" ht="26.25" customHeight="1" x14ac:dyDescent="0.25">
      <c r="A11" s="23" t="s">
        <v>27</v>
      </c>
      <c r="B11" s="92">
        <f>B43</f>
        <v>730</v>
      </c>
      <c r="C11" s="92"/>
      <c r="D11" s="92">
        <f t="shared" ref="D11:F11" si="0">D43</f>
        <v>730</v>
      </c>
      <c r="E11" s="92"/>
      <c r="F11" s="92">
        <f t="shared" si="0"/>
        <v>730</v>
      </c>
      <c r="G11" s="92"/>
      <c r="H11" s="92">
        <f t="shared" ref="H11:L11" si="1">H43</f>
        <v>730</v>
      </c>
      <c r="I11" s="92"/>
      <c r="J11" s="92">
        <f t="shared" si="1"/>
        <v>730</v>
      </c>
      <c r="K11" s="92"/>
      <c r="L11" s="92">
        <f t="shared" si="1"/>
        <v>730</v>
      </c>
      <c r="M11" s="92"/>
      <c r="N11" s="92">
        <f t="shared" ref="N11:R11" si="2">N43</f>
        <v>730</v>
      </c>
      <c r="O11" s="92"/>
      <c r="P11" s="92">
        <f t="shared" si="2"/>
        <v>730</v>
      </c>
      <c r="Q11" s="92"/>
      <c r="R11" s="92">
        <f t="shared" si="2"/>
        <v>730</v>
      </c>
      <c r="S11" s="92"/>
      <c r="V11">
        <v>9</v>
      </c>
      <c r="W11">
        <v>376</v>
      </c>
    </row>
    <row r="12" spans="1:23" ht="18" customHeight="1" x14ac:dyDescent="0.25">
      <c r="A12" s="21" t="s">
        <v>28</v>
      </c>
      <c r="B12" s="118">
        <f t="shared" ref="B12:F12" si="3">B9-B10-B11</f>
        <v>1890</v>
      </c>
      <c r="C12" s="118"/>
      <c r="D12" s="118">
        <f t="shared" si="3"/>
        <v>1953</v>
      </c>
      <c r="E12" s="118"/>
      <c r="F12" s="118">
        <f t="shared" si="3"/>
        <v>1807</v>
      </c>
      <c r="G12" s="118"/>
      <c r="H12" s="118">
        <f t="shared" ref="H12:L12" si="4">H9-H10-H11</f>
        <v>1947</v>
      </c>
      <c r="I12" s="118"/>
      <c r="J12" s="118">
        <f t="shared" si="4"/>
        <v>1957</v>
      </c>
      <c r="K12" s="118"/>
      <c r="L12" s="118">
        <f t="shared" si="4"/>
        <v>1911</v>
      </c>
      <c r="M12" s="118"/>
      <c r="N12" s="118">
        <f t="shared" ref="N12:R12" si="5">N9-N10-N11</f>
        <v>1708</v>
      </c>
      <c r="O12" s="118"/>
      <c r="P12" s="118">
        <f t="shared" si="5"/>
        <v>1673</v>
      </c>
      <c r="Q12" s="118"/>
      <c r="R12" s="118">
        <f t="shared" si="5"/>
        <v>1818</v>
      </c>
      <c r="S12" s="118"/>
      <c r="V12">
        <v>10</v>
      </c>
      <c r="W12">
        <v>377</v>
      </c>
    </row>
    <row r="13" spans="1:23" ht="18" customHeight="1" x14ac:dyDescent="0.25">
      <c r="A13" s="21" t="s">
        <v>29</v>
      </c>
      <c r="B13" s="117">
        <v>1.43</v>
      </c>
      <c r="C13" s="117"/>
      <c r="D13" s="117">
        <v>1.43</v>
      </c>
      <c r="E13" s="117"/>
      <c r="F13" s="117">
        <v>1.43</v>
      </c>
      <c r="G13" s="117"/>
      <c r="H13" s="117">
        <v>1.43</v>
      </c>
      <c r="I13" s="117"/>
      <c r="J13" s="117">
        <v>1.43</v>
      </c>
      <c r="K13" s="117"/>
      <c r="L13" s="117">
        <v>1.43</v>
      </c>
      <c r="M13" s="117"/>
      <c r="N13" s="117">
        <v>1.43</v>
      </c>
      <c r="O13" s="117"/>
      <c r="P13" s="117">
        <v>1.43</v>
      </c>
      <c r="Q13" s="117"/>
      <c r="R13" s="117">
        <v>1.43</v>
      </c>
      <c r="S13" s="117"/>
      <c r="V13">
        <v>11</v>
      </c>
      <c r="W13">
        <v>368</v>
      </c>
    </row>
    <row r="14" spans="1:23" ht="18" customHeight="1" x14ac:dyDescent="0.25">
      <c r="A14" s="21" t="s">
        <v>31</v>
      </c>
      <c r="B14" s="138" cm="1">
        <f t="array" ref="B14">foursix(B12/B13,0)</f>
        <v>1322</v>
      </c>
      <c r="C14" s="118"/>
      <c r="D14" s="138" cm="1">
        <f t="array" ref="D14">foursix(D12/D13,0)</f>
        <v>1366</v>
      </c>
      <c r="E14" s="118"/>
      <c r="F14" s="138" cm="1">
        <f t="array" ref="F14">foursix(F12/F13,0)</f>
        <v>1264</v>
      </c>
      <c r="G14" s="118"/>
      <c r="H14" s="138" cm="1">
        <f t="array" ref="H14">foursix(H12/H13,0)</f>
        <v>1362</v>
      </c>
      <c r="I14" s="118"/>
      <c r="J14" s="138" cm="1">
        <f t="array" ref="J14">foursix(J12/J13,0)</f>
        <v>1369</v>
      </c>
      <c r="K14" s="118"/>
      <c r="L14" s="138" cm="1">
        <f t="array" ref="L14">foursix(L12/L13,0)</f>
        <v>1336</v>
      </c>
      <c r="M14" s="118"/>
      <c r="N14" s="138" cm="1">
        <f t="array" ref="N14">foursix(N12/N13,0)</f>
        <v>1194</v>
      </c>
      <c r="O14" s="118"/>
      <c r="P14" s="138" cm="1">
        <f t="array" ref="P14">foursix(P12/P13,0)</f>
        <v>1170</v>
      </c>
      <c r="Q14" s="118"/>
      <c r="R14" s="138" cm="1">
        <f t="array" ref="R14">foursix(R12/R13,0)</f>
        <v>1271</v>
      </c>
      <c r="S14" s="118"/>
      <c r="V14">
        <v>12</v>
      </c>
      <c r="W14">
        <v>369</v>
      </c>
    </row>
    <row r="15" spans="1:23" ht="18" customHeight="1" x14ac:dyDescent="0.25">
      <c r="A15" s="21" t="s">
        <v>32</v>
      </c>
      <c r="B15" s="137">
        <v>2517</v>
      </c>
      <c r="C15" s="137"/>
      <c r="D15" s="137">
        <v>2598</v>
      </c>
      <c r="E15" s="137"/>
      <c r="F15" s="137">
        <v>2412</v>
      </c>
      <c r="G15" s="137"/>
      <c r="H15" s="137">
        <v>2578</v>
      </c>
      <c r="I15" s="137"/>
      <c r="J15" s="137">
        <v>2615</v>
      </c>
      <c r="K15" s="137"/>
      <c r="L15" s="137">
        <v>2543</v>
      </c>
      <c r="M15" s="137"/>
      <c r="N15" s="137">
        <v>2286</v>
      </c>
      <c r="O15" s="137"/>
      <c r="P15" s="137">
        <v>2217</v>
      </c>
      <c r="Q15" s="137"/>
      <c r="R15" s="137">
        <v>2415</v>
      </c>
      <c r="S15" s="137"/>
      <c r="V15">
        <v>13</v>
      </c>
      <c r="W15">
        <v>367</v>
      </c>
    </row>
    <row r="16" spans="1:23" ht="18" customHeight="1" x14ac:dyDescent="0.25">
      <c r="A16" s="21" t="s">
        <v>33</v>
      </c>
      <c r="B16" s="119" cm="1">
        <f t="array" ref="B16">foursix(B15/B14,2)</f>
        <v>1.9</v>
      </c>
      <c r="C16" s="119"/>
      <c r="D16" s="119" cm="1">
        <f t="array" ref="D16">foursix(D15/D14,2)</f>
        <v>1.9</v>
      </c>
      <c r="E16" s="119"/>
      <c r="F16" s="119" cm="1">
        <f t="array" ref="F16">foursix(F15/F14,2)</f>
        <v>1.91</v>
      </c>
      <c r="G16" s="119"/>
      <c r="H16" s="119" cm="1">
        <f t="array" ref="H16">foursix(H15/H14,2)</f>
        <v>1.89</v>
      </c>
      <c r="I16" s="119"/>
      <c r="J16" s="119" cm="1">
        <f t="array" ref="J16">foursix(J15/J14,2)</f>
        <v>1.91</v>
      </c>
      <c r="K16" s="119"/>
      <c r="L16" s="119" cm="1">
        <f t="array" ref="L16">foursix(L15/L14,2)</f>
        <v>1.9</v>
      </c>
      <c r="M16" s="119"/>
      <c r="N16" s="119" cm="1">
        <f t="array" ref="N16">foursix(N15/N14,2)</f>
        <v>1.91</v>
      </c>
      <c r="O16" s="119"/>
      <c r="P16" s="119" cm="1">
        <f t="array" ref="P16">foursix(P15/P14,2)</f>
        <v>1.89</v>
      </c>
      <c r="Q16" s="119"/>
      <c r="R16" s="119" cm="1">
        <f t="array" ref="R16">foursix(R15/R14,2)</f>
        <v>1.9</v>
      </c>
      <c r="S16" s="119"/>
      <c r="V16">
        <v>14</v>
      </c>
      <c r="W16">
        <v>382</v>
      </c>
    </row>
    <row r="17" spans="1:23" ht="18" customHeight="1" x14ac:dyDescent="0.25">
      <c r="A17" s="21" t="s">
        <v>34</v>
      </c>
      <c r="B17" s="139">
        <v>8</v>
      </c>
      <c r="C17" s="140"/>
      <c r="D17" s="139">
        <v>12</v>
      </c>
      <c r="E17" s="140"/>
      <c r="F17" s="139">
        <v>11</v>
      </c>
      <c r="G17" s="140"/>
      <c r="H17" s="139">
        <v>15</v>
      </c>
      <c r="I17" s="140"/>
      <c r="J17" s="139">
        <v>1</v>
      </c>
      <c r="K17" s="140"/>
      <c r="L17" s="139">
        <v>3</v>
      </c>
      <c r="M17" s="140"/>
      <c r="N17" s="139">
        <v>13</v>
      </c>
      <c r="O17" s="140"/>
      <c r="P17" s="139">
        <v>14</v>
      </c>
      <c r="Q17" s="140"/>
      <c r="R17" s="139">
        <v>12</v>
      </c>
      <c r="S17" s="140"/>
      <c r="V17">
        <v>15</v>
      </c>
      <c r="W17">
        <v>374</v>
      </c>
    </row>
    <row r="18" spans="1:23" ht="18" customHeight="1" x14ac:dyDescent="0.25">
      <c r="A18" s="21" t="s">
        <v>35</v>
      </c>
      <c r="B18" s="128" cm="1">
        <f t="array" ref="B18">INDEX($W:$W,B17+2)</f>
        <v>359</v>
      </c>
      <c r="C18" s="129"/>
      <c r="D18" s="128" cm="1">
        <f t="array" ref="D18">INDEX($W:$W,D17+2)</f>
        <v>369</v>
      </c>
      <c r="E18" s="129"/>
      <c r="F18" s="128" cm="1">
        <f t="array" ref="F18">INDEX($W:$W,F17+2)</f>
        <v>368</v>
      </c>
      <c r="G18" s="129"/>
      <c r="H18" s="128" cm="1">
        <f t="array" ref="H18">INDEX($W:$W,H17+2)</f>
        <v>374</v>
      </c>
      <c r="I18" s="129"/>
      <c r="J18" s="128" cm="1">
        <f t="array" ref="J18">INDEX($W:$W,J17+2)</f>
        <v>380</v>
      </c>
      <c r="K18" s="129"/>
      <c r="L18" s="128" cm="1">
        <f t="array" ref="L18">INDEX($W:$W,L17+2)</f>
        <v>371</v>
      </c>
      <c r="M18" s="129"/>
      <c r="N18" s="128" cm="1">
        <f t="array" ref="N18">INDEX($W:$W,N17+2)</f>
        <v>367</v>
      </c>
      <c r="O18" s="129"/>
      <c r="P18" s="128" cm="1">
        <f t="array" ref="P18">INDEX($W:$W,P17+2)</f>
        <v>382</v>
      </c>
      <c r="Q18" s="129"/>
      <c r="R18" s="128" cm="1">
        <f t="array" ref="R18">INDEX($W:$W,R17+2)</f>
        <v>369</v>
      </c>
      <c r="S18" s="129"/>
    </row>
    <row r="19" spans="1:23" ht="18" customHeight="1" x14ac:dyDescent="0.25">
      <c r="A19" s="21" t="s">
        <v>36</v>
      </c>
      <c r="B19" s="141">
        <f>B18+B15-15</f>
        <v>2861</v>
      </c>
      <c r="C19" s="142"/>
      <c r="D19" s="141">
        <f>D18+D15-12</f>
        <v>2955</v>
      </c>
      <c r="E19" s="142"/>
      <c r="F19" s="141">
        <f>F18+F15-8</f>
        <v>2772</v>
      </c>
      <c r="G19" s="142"/>
      <c r="H19" s="141">
        <f>H18+H15-6</f>
        <v>2946</v>
      </c>
      <c r="I19" s="142"/>
      <c r="J19" s="141">
        <f>J18+J15-14</f>
        <v>2981</v>
      </c>
      <c r="K19" s="142"/>
      <c r="L19" s="141">
        <f>L18+L15-11</f>
        <v>2903</v>
      </c>
      <c r="M19" s="142"/>
      <c r="N19" s="141">
        <f>N18+N15-12</f>
        <v>2641</v>
      </c>
      <c r="O19" s="142"/>
      <c r="P19" s="141">
        <f>P18+P15-14</f>
        <v>2585</v>
      </c>
      <c r="Q19" s="142"/>
      <c r="R19" s="141">
        <f>R18+R15-8</f>
        <v>2776</v>
      </c>
      <c r="S19" s="142"/>
    </row>
    <row r="20" spans="1:23" ht="18" customHeight="1" x14ac:dyDescent="0.25">
      <c r="A20" s="21" t="s">
        <v>37</v>
      </c>
      <c r="B20" s="130">
        <v>2612</v>
      </c>
      <c r="C20" s="131"/>
      <c r="D20" s="130">
        <v>2675</v>
      </c>
      <c r="E20" s="131"/>
      <c r="F20" s="130">
        <v>2519</v>
      </c>
      <c r="G20" s="131"/>
      <c r="H20" s="130">
        <v>2668</v>
      </c>
      <c r="I20" s="131"/>
      <c r="J20" s="130">
        <v>2704</v>
      </c>
      <c r="K20" s="131"/>
      <c r="L20" s="130">
        <v>2678</v>
      </c>
      <c r="M20" s="131"/>
      <c r="N20" s="130">
        <v>2431</v>
      </c>
      <c r="O20" s="131"/>
      <c r="P20" s="130">
        <v>2354</v>
      </c>
      <c r="Q20" s="131"/>
      <c r="R20" s="130">
        <v>2558</v>
      </c>
      <c r="S20" s="131"/>
    </row>
    <row r="21" spans="1:23" s="17" customFormat="1" ht="18" customHeight="1" x14ac:dyDescent="0.25">
      <c r="A21" s="24" t="s">
        <v>38</v>
      </c>
      <c r="B21" s="143" cm="1">
        <f t="array" ref="B21">foursix((B19-B20)/(B20-B18)*100,1)</f>
        <v>11.1</v>
      </c>
      <c r="C21" s="144"/>
      <c r="D21" s="143" cm="1">
        <f t="array" ref="D21">foursix((D19-D20)/(D20-D18)*100,1)</f>
        <v>12.1</v>
      </c>
      <c r="E21" s="144"/>
      <c r="F21" s="143" cm="1">
        <f t="array" ref="F21">foursix((F19-F20)/(F20-F18)*100,1)</f>
        <v>11.8</v>
      </c>
      <c r="G21" s="144"/>
      <c r="H21" s="143" cm="1">
        <f t="array" ref="H21">foursix((H19-H20)/(H20-H18)*100,1)</f>
        <v>12.1</v>
      </c>
      <c r="I21" s="144"/>
      <c r="J21" s="143" cm="1">
        <f t="array" ref="J21">foursix((J19-J20)/(J20-J18)*100,1)</f>
        <v>11.9</v>
      </c>
      <c r="K21" s="144"/>
      <c r="L21" s="143" cm="1">
        <f t="array" ref="L21">foursix((L19-L20)/(L20-L18)*100,1)</f>
        <v>9.8000000000000007</v>
      </c>
      <c r="M21" s="144"/>
      <c r="N21" s="143" cm="1">
        <f t="array" ref="N21">foursix((N19-N20)/(N20-N18)*100,1)</f>
        <v>10.199999999999999</v>
      </c>
      <c r="O21" s="144"/>
      <c r="P21" s="143" cm="1">
        <f t="array" ref="P21">foursix((P19-P20)/(P20-P18)*100,1)</f>
        <v>11.7</v>
      </c>
      <c r="Q21" s="144"/>
      <c r="R21" s="143" cm="1">
        <f t="array" ref="R21">foursix((R19-R20)/(R20-R18)*100,1)</f>
        <v>10</v>
      </c>
      <c r="S21" s="144"/>
    </row>
    <row r="22" spans="1:23" s="17" customFormat="1" ht="18" customHeight="1" x14ac:dyDescent="0.25">
      <c r="A22" s="24" t="s">
        <v>39</v>
      </c>
      <c r="B22" s="119" cm="1">
        <f t="array" ref="B22">foursix(B16/(1+0.01*B21),2)</f>
        <v>1.71</v>
      </c>
      <c r="C22" s="119"/>
      <c r="D22" s="119" cm="1">
        <f t="array" ref="D22">foursix(D16/(1+0.01*D21),2)</f>
        <v>1.69</v>
      </c>
      <c r="E22" s="119"/>
      <c r="F22" s="119" cm="1">
        <f t="array" ref="F22">foursix(F16/(1+0.01*F21),2)</f>
        <v>1.71</v>
      </c>
      <c r="G22" s="119"/>
      <c r="H22" s="119" cm="1">
        <f t="array" ref="H22">foursix(H16/(1+0.01*H21),2)</f>
        <v>1.69</v>
      </c>
      <c r="I22" s="119"/>
      <c r="J22" s="119" cm="1">
        <f t="array" ref="J22">foursix(J16/(1+0.01*J21),2)</f>
        <v>1.71</v>
      </c>
      <c r="K22" s="119"/>
      <c r="L22" s="119" cm="1">
        <f t="array" ref="L22">foursix(L16/(1+0.01*L21),2)</f>
        <v>1.73</v>
      </c>
      <c r="M22" s="119"/>
      <c r="N22" s="119" cm="1">
        <f t="array" ref="N22">foursix(N16/(1+0.01*N21),2)</f>
        <v>1.73</v>
      </c>
      <c r="O22" s="119"/>
      <c r="P22" s="119" cm="1">
        <f t="array" ref="P22">foursix(P16/(1+0.01*P21),2)</f>
        <v>1.69</v>
      </c>
      <c r="Q22" s="119"/>
      <c r="R22" s="119" cm="1">
        <f t="array" ref="R22">foursix(R16/(1+0.01*R21),2)</f>
        <v>1.73</v>
      </c>
      <c r="S22" s="119"/>
    </row>
    <row r="23" spans="1:23" ht="18" customHeight="1" x14ac:dyDescent="0.25">
      <c r="A23" s="21" t="s">
        <v>40</v>
      </c>
      <c r="B23" s="145">
        <v>1.84</v>
      </c>
      <c r="C23" s="145"/>
      <c r="D23" s="145">
        <v>1.84</v>
      </c>
      <c r="E23" s="145"/>
      <c r="F23" s="145">
        <v>1.84</v>
      </c>
      <c r="G23" s="145"/>
      <c r="H23" s="145">
        <v>1.84</v>
      </c>
      <c r="I23" s="145"/>
      <c r="J23" s="145">
        <v>1.84</v>
      </c>
      <c r="K23" s="145"/>
      <c r="L23" s="145">
        <v>1.84</v>
      </c>
      <c r="M23" s="145"/>
      <c r="N23" s="145">
        <v>1.84</v>
      </c>
      <c r="O23" s="145"/>
      <c r="P23" s="145">
        <v>1.84</v>
      </c>
      <c r="Q23" s="145"/>
      <c r="R23" s="145">
        <v>1.84</v>
      </c>
      <c r="S23" s="145"/>
    </row>
    <row r="24" spans="1:23" s="18" customFormat="1" ht="18" customHeight="1" x14ac:dyDescent="0.25">
      <c r="A24" s="26" t="s">
        <v>41</v>
      </c>
      <c r="B24" s="146" cm="1">
        <f t="array" ref="B24">foursix(B22/B23*100,1)</f>
        <v>92.9</v>
      </c>
      <c r="C24" s="146"/>
      <c r="D24" s="146" cm="1">
        <f t="array" ref="D24">foursix(D22/D23*100,1)</f>
        <v>91.8</v>
      </c>
      <c r="E24" s="146"/>
      <c r="F24" s="146" cm="1">
        <f t="array" ref="F24">foursix(F22/F23*100,1)</f>
        <v>92.9</v>
      </c>
      <c r="G24" s="146"/>
      <c r="H24" s="146" cm="1">
        <f t="array" ref="H24">foursix(H22/H23*100,1)</f>
        <v>91.8</v>
      </c>
      <c r="I24" s="146"/>
      <c r="J24" s="146" cm="1">
        <f t="array" ref="J24">foursix(J22/J23*100,1)</f>
        <v>92.9</v>
      </c>
      <c r="K24" s="146"/>
      <c r="L24" s="146" cm="1">
        <f t="array" ref="L24">foursix(L22/L23*100,1)</f>
        <v>94</v>
      </c>
      <c r="M24" s="146"/>
      <c r="N24" s="146" cm="1">
        <f t="array" ref="N24">foursix(N22/N23*100,1)</f>
        <v>94</v>
      </c>
      <c r="O24" s="146"/>
      <c r="P24" s="146" cm="1">
        <f t="array" ref="P24">foursix(P22/P23*100,1)</f>
        <v>91.8</v>
      </c>
      <c r="Q24" s="146"/>
      <c r="R24" s="146" cm="1">
        <f t="array" ref="R24">foursix(R22/R23*100,1)</f>
        <v>94</v>
      </c>
      <c r="S24" s="146"/>
    </row>
    <row r="25" spans="1:23" ht="18" customHeight="1" x14ac:dyDescent="0.25">
      <c r="A25" s="21" t="s">
        <v>42</v>
      </c>
      <c r="B25" s="85" t="s">
        <v>43</v>
      </c>
      <c r="C25" s="86"/>
      <c r="D25" s="86"/>
      <c r="E25" s="86"/>
      <c r="F25" s="86"/>
      <c r="G25" s="86"/>
      <c r="H25" s="86"/>
      <c r="I25" s="86"/>
      <c r="J25" s="86"/>
      <c r="K25" s="86"/>
      <c r="L25" s="86"/>
      <c r="M25" s="86"/>
      <c r="N25" s="86"/>
      <c r="O25" s="86"/>
      <c r="P25" s="86"/>
      <c r="Q25" s="86"/>
      <c r="R25" s="86"/>
      <c r="S25" s="87"/>
    </row>
    <row r="26" spans="1:23" ht="18" customHeight="1" x14ac:dyDescent="0.25">
      <c r="A26" s="21" t="s">
        <v>44</v>
      </c>
      <c r="B26" s="85" t="s">
        <v>45</v>
      </c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7"/>
    </row>
    <row r="27" spans="1:23" ht="18" customHeight="1" x14ac:dyDescent="0.25">
      <c r="A27" s="21" t="s">
        <v>46</v>
      </c>
      <c r="B27" s="85"/>
      <c r="C27" s="86"/>
      <c r="D27" s="86"/>
      <c r="E27" s="86"/>
      <c r="F27" s="86"/>
      <c r="G27" s="86"/>
      <c r="H27" s="86"/>
      <c r="I27" s="86"/>
      <c r="J27" s="86"/>
      <c r="K27" s="86"/>
      <c r="L27" s="86"/>
      <c r="M27" s="86"/>
      <c r="N27" s="86"/>
      <c r="O27" s="86"/>
      <c r="P27" s="86"/>
      <c r="Q27" s="86"/>
      <c r="R27" s="86"/>
      <c r="S27" s="87"/>
      <c r="V27">
        <v>4.55</v>
      </c>
      <c r="W27" s="27">
        <f>IF(ABS(V27-INT(V27))&lt;&gt;0.5,ROUND(V27,0),IF(MOD(INT(V27),2)=0,INT(V27),INT(V27)+SIGN(V27)))</f>
        <v>5</v>
      </c>
    </row>
    <row r="28" spans="1:23" ht="19" customHeight="1" x14ac:dyDescent="0.25">
      <c r="A28" s="28" t="s">
        <v>47</v>
      </c>
      <c r="F28" s="20" t="s">
        <v>48</v>
      </c>
      <c r="K28" s="99" t="s">
        <v>49</v>
      </c>
      <c r="L28" s="99"/>
      <c r="V28">
        <v>4.6509999999999998</v>
      </c>
      <c r="W28" cm="1">
        <f t="array" ref="W28">foursix(V28,1)</f>
        <v>4.7</v>
      </c>
    </row>
    <row r="29" spans="1:23" ht="19" customHeight="1" x14ac:dyDescent="0.25"/>
    <row r="30" spans="1:23" ht="19" customHeight="1" x14ac:dyDescent="0.25">
      <c r="J30" t="s">
        <v>63</v>
      </c>
    </row>
    <row r="31" spans="1:23" ht="19" customHeight="1" x14ac:dyDescent="0.25"/>
    <row r="32" spans="1:23" ht="19" customHeight="1" x14ac:dyDescent="0.25">
      <c r="A32" s="29" t="s">
        <v>25</v>
      </c>
      <c r="B32" s="91">
        <v>9000</v>
      </c>
      <c r="C32" s="91"/>
      <c r="D32" s="91">
        <v>9000</v>
      </c>
      <c r="E32" s="91"/>
      <c r="F32" s="91">
        <v>9000</v>
      </c>
      <c r="G32" s="91"/>
      <c r="H32" s="91">
        <v>9000</v>
      </c>
      <c r="I32" s="91"/>
      <c r="J32" s="91">
        <v>9000</v>
      </c>
      <c r="K32" s="91"/>
      <c r="L32" s="91">
        <v>9000</v>
      </c>
      <c r="M32" s="91"/>
      <c r="N32" s="91">
        <v>9000</v>
      </c>
      <c r="O32" s="91"/>
      <c r="P32" s="91">
        <v>9000</v>
      </c>
      <c r="Q32" s="91"/>
      <c r="R32" s="91">
        <v>9000</v>
      </c>
      <c r="S32" s="91"/>
    </row>
    <row r="33" spans="1:19" ht="19" customHeight="1" x14ac:dyDescent="0.25">
      <c r="A33" s="30" t="s">
        <v>52</v>
      </c>
      <c r="B33" s="111">
        <v>8646</v>
      </c>
      <c r="C33" s="112"/>
      <c r="D33" s="111">
        <v>8826</v>
      </c>
      <c r="E33" s="112"/>
      <c r="F33" s="111">
        <v>8876</v>
      </c>
      <c r="G33" s="112"/>
      <c r="H33" s="111">
        <v>8872</v>
      </c>
      <c r="I33" s="112"/>
      <c r="J33" s="111">
        <v>8890</v>
      </c>
      <c r="K33" s="112"/>
      <c r="L33" s="100">
        <v>8491</v>
      </c>
      <c r="M33" s="101"/>
      <c r="N33" s="100">
        <v>8454</v>
      </c>
      <c r="O33" s="101"/>
      <c r="P33" s="100">
        <v>8443</v>
      </c>
      <c r="Q33" s="101"/>
      <c r="R33" s="100">
        <v>8461</v>
      </c>
      <c r="S33" s="101"/>
    </row>
    <row r="34" spans="1:19" ht="19" customHeight="1" x14ac:dyDescent="0.25">
      <c r="A34" s="30" t="s">
        <v>53</v>
      </c>
      <c r="B34" s="89">
        <f t="shared" ref="B34:F34" si="6">B32-B33</f>
        <v>354</v>
      </c>
      <c r="C34" s="90"/>
      <c r="D34" s="89">
        <f t="shared" si="6"/>
        <v>174</v>
      </c>
      <c r="E34" s="90"/>
      <c r="F34" s="89">
        <f t="shared" si="6"/>
        <v>124</v>
      </c>
      <c r="G34" s="90"/>
      <c r="H34" s="89">
        <f t="shared" ref="H34:L34" si="7">H32-H33</f>
        <v>128</v>
      </c>
      <c r="I34" s="90"/>
      <c r="J34" s="89">
        <f t="shared" si="7"/>
        <v>110</v>
      </c>
      <c r="K34" s="90"/>
      <c r="L34" s="89">
        <f t="shared" si="7"/>
        <v>509</v>
      </c>
      <c r="M34" s="90"/>
      <c r="N34" s="89">
        <f t="shared" ref="N34:R34" si="8">N32-N33</f>
        <v>546</v>
      </c>
      <c r="O34" s="90"/>
      <c r="P34" s="89">
        <f t="shared" si="8"/>
        <v>557</v>
      </c>
      <c r="Q34" s="90"/>
      <c r="R34" s="89">
        <f t="shared" si="8"/>
        <v>539</v>
      </c>
      <c r="S34" s="90"/>
    </row>
    <row r="35" spans="1:19" ht="19" customHeight="1" x14ac:dyDescent="0.25">
      <c r="A35" s="21" t="s">
        <v>26</v>
      </c>
      <c r="B35" s="111">
        <v>6061</v>
      </c>
      <c r="C35" s="112"/>
      <c r="D35" s="111">
        <v>6328</v>
      </c>
      <c r="E35" s="112"/>
      <c r="F35" s="111">
        <v>6426</v>
      </c>
      <c r="G35" s="112"/>
      <c r="H35" s="111">
        <v>6373</v>
      </c>
      <c r="I35" s="112"/>
      <c r="J35" s="111">
        <v>5754</v>
      </c>
      <c r="K35" s="112"/>
      <c r="L35" s="100">
        <v>6150</v>
      </c>
      <c r="M35" s="101"/>
      <c r="N35" s="100">
        <v>6062</v>
      </c>
      <c r="O35" s="101"/>
      <c r="P35" s="100">
        <v>5990</v>
      </c>
      <c r="Q35" s="101"/>
      <c r="R35" s="100">
        <v>5930</v>
      </c>
      <c r="S35" s="101"/>
    </row>
    <row r="36" spans="1:19" ht="19" customHeight="1" x14ac:dyDescent="0.25">
      <c r="A36" s="21" t="s">
        <v>64</v>
      </c>
      <c r="B36" s="89">
        <f t="shared" ref="B36:F36" si="9">B34+B35</f>
        <v>6415</v>
      </c>
      <c r="C36" s="90"/>
      <c r="D36" s="89">
        <f t="shared" si="9"/>
        <v>6502</v>
      </c>
      <c r="E36" s="90"/>
      <c r="F36" s="89">
        <f t="shared" si="9"/>
        <v>6550</v>
      </c>
      <c r="G36" s="90"/>
      <c r="H36" s="89">
        <f t="shared" ref="H36:L36" si="10">H34+H35</f>
        <v>6501</v>
      </c>
      <c r="I36" s="90"/>
      <c r="J36" s="89">
        <f t="shared" si="10"/>
        <v>5864</v>
      </c>
      <c r="K36" s="90"/>
      <c r="L36" s="89">
        <f t="shared" si="10"/>
        <v>6659</v>
      </c>
      <c r="M36" s="90"/>
      <c r="N36" s="89">
        <f t="shared" ref="N36:R36" si="11">N34+N35</f>
        <v>6608</v>
      </c>
      <c r="O36" s="90"/>
      <c r="P36" s="89">
        <f t="shared" si="11"/>
        <v>6547</v>
      </c>
      <c r="Q36" s="90"/>
      <c r="R36" s="89">
        <f t="shared" si="11"/>
        <v>6469</v>
      </c>
      <c r="S36" s="90"/>
    </row>
    <row r="37" spans="1:19" ht="19" customHeight="1" x14ac:dyDescent="0.25">
      <c r="A37" s="31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</row>
    <row r="38" spans="1:19" ht="19" customHeight="1" x14ac:dyDescent="0.25">
      <c r="A38" s="22" t="s">
        <v>56</v>
      </c>
    </row>
    <row r="39" spans="1:19" ht="19" customHeight="1" x14ac:dyDescent="0.25">
      <c r="A39" s="33" t="s">
        <v>51</v>
      </c>
      <c r="B39" s="134">
        <v>8752</v>
      </c>
      <c r="C39" s="135"/>
      <c r="D39" s="134">
        <v>8752</v>
      </c>
      <c r="E39" s="135"/>
      <c r="F39" s="134">
        <v>8752</v>
      </c>
      <c r="G39" s="135"/>
      <c r="H39" s="134">
        <v>8752</v>
      </c>
      <c r="I39" s="135"/>
      <c r="J39" s="134">
        <v>8752</v>
      </c>
      <c r="K39" s="135"/>
      <c r="L39" s="134">
        <v>8752</v>
      </c>
      <c r="M39" s="135"/>
      <c r="N39" s="134">
        <v>8752</v>
      </c>
      <c r="O39" s="135"/>
      <c r="P39" s="134">
        <v>8752</v>
      </c>
      <c r="Q39" s="135"/>
      <c r="R39" s="134">
        <v>8752</v>
      </c>
      <c r="S39" s="135"/>
    </row>
    <row r="40" spans="1:19" ht="19" customHeight="1" x14ac:dyDescent="0.25">
      <c r="A40" s="33" t="s">
        <v>54</v>
      </c>
      <c r="B40" s="134">
        <v>8022</v>
      </c>
      <c r="C40" s="135"/>
      <c r="D40" s="134">
        <v>8022</v>
      </c>
      <c r="E40" s="135"/>
      <c r="F40" s="134">
        <v>8022</v>
      </c>
      <c r="G40" s="135"/>
      <c r="H40" s="134">
        <v>8022</v>
      </c>
      <c r="I40" s="135"/>
      <c r="J40" s="134">
        <v>8022</v>
      </c>
      <c r="K40" s="135"/>
      <c r="L40" s="134">
        <v>8022</v>
      </c>
      <c r="M40" s="135"/>
      <c r="N40" s="134">
        <v>8022</v>
      </c>
      <c r="O40" s="135"/>
      <c r="P40" s="134">
        <v>8022</v>
      </c>
      <c r="Q40" s="135"/>
      <c r="R40" s="134">
        <v>8022</v>
      </c>
      <c r="S40" s="135"/>
    </row>
    <row r="41" spans="1:19" x14ac:dyDescent="0.25">
      <c r="A41" s="33" t="s">
        <v>57</v>
      </c>
      <c r="B41" s="136">
        <v>710</v>
      </c>
      <c r="C41" s="136"/>
      <c r="D41" s="136">
        <v>710</v>
      </c>
      <c r="E41" s="136"/>
      <c r="F41" s="136">
        <v>710</v>
      </c>
      <c r="G41" s="136"/>
      <c r="H41" s="136">
        <v>710</v>
      </c>
      <c r="I41" s="136"/>
      <c r="J41" s="136">
        <v>710</v>
      </c>
      <c r="K41" s="136"/>
      <c r="L41" s="136">
        <v>710</v>
      </c>
      <c r="M41" s="136"/>
      <c r="N41" s="136">
        <v>710</v>
      </c>
      <c r="O41" s="136"/>
      <c r="P41" s="136">
        <v>710</v>
      </c>
      <c r="Q41" s="136"/>
      <c r="R41" s="136">
        <v>710</v>
      </c>
      <c r="S41" s="136"/>
    </row>
    <row r="42" spans="1:19" x14ac:dyDescent="0.25">
      <c r="A42" s="33" t="s">
        <v>58</v>
      </c>
      <c r="B42" s="103">
        <f>B39-B40-B41</f>
        <v>20</v>
      </c>
      <c r="C42" s="104"/>
      <c r="D42" s="103">
        <f t="shared" ref="D42:F42" si="12">D39-D40-D41</f>
        <v>20</v>
      </c>
      <c r="E42" s="104"/>
      <c r="F42" s="103">
        <f t="shared" si="12"/>
        <v>20</v>
      </c>
      <c r="G42" s="104"/>
      <c r="H42" s="103">
        <f t="shared" ref="H42:L42" si="13">H39-H40-H41</f>
        <v>20</v>
      </c>
      <c r="I42" s="104"/>
      <c r="J42" s="103">
        <f t="shared" si="13"/>
        <v>20</v>
      </c>
      <c r="K42" s="104"/>
      <c r="L42" s="103">
        <f t="shared" si="13"/>
        <v>20</v>
      </c>
      <c r="M42" s="104"/>
      <c r="N42" s="103">
        <f t="shared" ref="N42:R42" si="14">N39-N40-N41</f>
        <v>20</v>
      </c>
      <c r="O42" s="104"/>
      <c r="P42" s="103">
        <f t="shared" si="14"/>
        <v>20</v>
      </c>
      <c r="Q42" s="104"/>
      <c r="R42" s="103">
        <f t="shared" si="14"/>
        <v>20</v>
      </c>
      <c r="S42" s="104"/>
    </row>
    <row r="43" spans="1:19" ht="26.25" customHeight="1" x14ac:dyDescent="0.25">
      <c r="A43" s="23" t="s">
        <v>27</v>
      </c>
      <c r="B43" s="103">
        <f>B41+B42</f>
        <v>730</v>
      </c>
      <c r="C43" s="104"/>
      <c r="D43" s="103">
        <f t="shared" ref="D43:F43" si="15">D41+D42</f>
        <v>730</v>
      </c>
      <c r="E43" s="104"/>
      <c r="F43" s="103">
        <f t="shared" si="15"/>
        <v>730</v>
      </c>
      <c r="G43" s="104"/>
      <c r="H43" s="103">
        <f t="shared" ref="H43:L43" si="16">H41+H42</f>
        <v>730</v>
      </c>
      <c r="I43" s="104"/>
      <c r="J43" s="103">
        <f t="shared" si="16"/>
        <v>730</v>
      </c>
      <c r="K43" s="104"/>
      <c r="L43" s="103">
        <f t="shared" si="16"/>
        <v>730</v>
      </c>
      <c r="M43" s="104"/>
      <c r="N43" s="103">
        <f t="shared" ref="N43:R43" si="17">N41+N42</f>
        <v>730</v>
      </c>
      <c r="O43" s="104"/>
      <c r="P43" s="103">
        <f t="shared" si="17"/>
        <v>730</v>
      </c>
      <c r="Q43" s="104"/>
      <c r="R43" s="103">
        <f t="shared" si="17"/>
        <v>730</v>
      </c>
      <c r="S43" s="104"/>
    </row>
  </sheetData>
  <mergeCells count="275">
    <mergeCell ref="B43:C43"/>
    <mergeCell ref="D43:E43"/>
    <mergeCell ref="F43:G43"/>
    <mergeCell ref="H43:I43"/>
    <mergeCell ref="J43:K43"/>
    <mergeCell ref="L43:M43"/>
    <mergeCell ref="N43:O43"/>
    <mergeCell ref="P43:Q43"/>
    <mergeCell ref="R43:S43"/>
    <mergeCell ref="B42:C42"/>
    <mergeCell ref="D42:E42"/>
    <mergeCell ref="F42:G42"/>
    <mergeCell ref="H42:I42"/>
    <mergeCell ref="J42:K42"/>
    <mergeCell ref="L42:M42"/>
    <mergeCell ref="N42:O42"/>
    <mergeCell ref="P42:Q42"/>
    <mergeCell ref="R42:S42"/>
    <mergeCell ref="B41:C41"/>
    <mergeCell ref="D41:E41"/>
    <mergeCell ref="F41:G41"/>
    <mergeCell ref="H41:I41"/>
    <mergeCell ref="J41:K41"/>
    <mergeCell ref="L41:M41"/>
    <mergeCell ref="N41:O41"/>
    <mergeCell ref="P41:Q41"/>
    <mergeCell ref="R41:S41"/>
    <mergeCell ref="B40:C40"/>
    <mergeCell ref="D40:E40"/>
    <mergeCell ref="F40:G40"/>
    <mergeCell ref="H40:I40"/>
    <mergeCell ref="J40:K40"/>
    <mergeCell ref="L40:M40"/>
    <mergeCell ref="N40:O40"/>
    <mergeCell ref="P40:Q40"/>
    <mergeCell ref="R40:S40"/>
    <mergeCell ref="B39:C39"/>
    <mergeCell ref="D39:E39"/>
    <mergeCell ref="F39:G39"/>
    <mergeCell ref="H39:I39"/>
    <mergeCell ref="J39:K39"/>
    <mergeCell ref="L39:M39"/>
    <mergeCell ref="N39:O39"/>
    <mergeCell ref="P39:Q39"/>
    <mergeCell ref="R39:S39"/>
    <mergeCell ref="B36:C36"/>
    <mergeCell ref="D36:E36"/>
    <mergeCell ref="F36:G36"/>
    <mergeCell ref="H36:I36"/>
    <mergeCell ref="J36:K36"/>
    <mergeCell ref="L36:M36"/>
    <mergeCell ref="N36:O36"/>
    <mergeCell ref="P36:Q36"/>
    <mergeCell ref="R36:S36"/>
    <mergeCell ref="B35:C35"/>
    <mergeCell ref="D35:E35"/>
    <mergeCell ref="F35:G35"/>
    <mergeCell ref="H35:I35"/>
    <mergeCell ref="J35:K35"/>
    <mergeCell ref="L35:M35"/>
    <mergeCell ref="N35:O35"/>
    <mergeCell ref="P35:Q35"/>
    <mergeCell ref="R35:S35"/>
    <mergeCell ref="B34:C34"/>
    <mergeCell ref="D34:E34"/>
    <mergeCell ref="F34:G34"/>
    <mergeCell ref="H34:I34"/>
    <mergeCell ref="J34:K34"/>
    <mergeCell ref="L34:M34"/>
    <mergeCell ref="N34:O34"/>
    <mergeCell ref="P34:Q34"/>
    <mergeCell ref="R34:S34"/>
    <mergeCell ref="B33:C33"/>
    <mergeCell ref="D33:E33"/>
    <mergeCell ref="F33:G33"/>
    <mergeCell ref="H33:I33"/>
    <mergeCell ref="J33:K33"/>
    <mergeCell ref="L33:M33"/>
    <mergeCell ref="N33:O33"/>
    <mergeCell ref="P33:Q33"/>
    <mergeCell ref="R33:S33"/>
    <mergeCell ref="B25:S25"/>
    <mergeCell ref="B26:S26"/>
    <mergeCell ref="B27:S27"/>
    <mergeCell ref="K28:L28"/>
    <mergeCell ref="B32:C32"/>
    <mergeCell ref="D32:E32"/>
    <mergeCell ref="F32:G32"/>
    <mergeCell ref="H32:I32"/>
    <mergeCell ref="J32:K32"/>
    <mergeCell ref="L32:M32"/>
    <mergeCell ref="N32:O32"/>
    <mergeCell ref="P32:Q32"/>
    <mergeCell ref="R32:S32"/>
    <mergeCell ref="B24:C24"/>
    <mergeCell ref="D24:E24"/>
    <mergeCell ref="F24:G24"/>
    <mergeCell ref="H24:I24"/>
    <mergeCell ref="J24:K24"/>
    <mergeCell ref="L24:M24"/>
    <mergeCell ref="N24:O24"/>
    <mergeCell ref="P24:Q24"/>
    <mergeCell ref="R24:S24"/>
    <mergeCell ref="B23:C23"/>
    <mergeCell ref="D23:E23"/>
    <mergeCell ref="F23:G23"/>
    <mergeCell ref="H23:I23"/>
    <mergeCell ref="J23:K23"/>
    <mergeCell ref="L23:M23"/>
    <mergeCell ref="N23:O23"/>
    <mergeCell ref="P23:Q23"/>
    <mergeCell ref="R23:S23"/>
    <mergeCell ref="B22:C22"/>
    <mergeCell ref="D22:E22"/>
    <mergeCell ref="F22:G22"/>
    <mergeCell ref="H22:I22"/>
    <mergeCell ref="J22:K22"/>
    <mergeCell ref="L22:M22"/>
    <mergeCell ref="N22:O22"/>
    <mergeCell ref="P22:Q22"/>
    <mergeCell ref="R22:S22"/>
    <mergeCell ref="B21:C21"/>
    <mergeCell ref="D21:E21"/>
    <mergeCell ref="F21:G21"/>
    <mergeCell ref="H21:I21"/>
    <mergeCell ref="J21:K21"/>
    <mergeCell ref="L21:M21"/>
    <mergeCell ref="N21:O21"/>
    <mergeCell ref="P21:Q21"/>
    <mergeCell ref="R21:S21"/>
    <mergeCell ref="B20:C20"/>
    <mergeCell ref="D20:E20"/>
    <mergeCell ref="F20:G20"/>
    <mergeCell ref="H20:I20"/>
    <mergeCell ref="J20:K20"/>
    <mergeCell ref="L20:M20"/>
    <mergeCell ref="N20:O20"/>
    <mergeCell ref="P20:Q20"/>
    <mergeCell ref="R20:S20"/>
    <mergeCell ref="B19:C19"/>
    <mergeCell ref="D19:E19"/>
    <mergeCell ref="F19:G19"/>
    <mergeCell ref="H19:I19"/>
    <mergeCell ref="J19:K19"/>
    <mergeCell ref="L19:M19"/>
    <mergeCell ref="N19:O19"/>
    <mergeCell ref="P19:Q19"/>
    <mergeCell ref="R19:S19"/>
    <mergeCell ref="B18:C18"/>
    <mergeCell ref="D18:E18"/>
    <mergeCell ref="F18:G18"/>
    <mergeCell ref="H18:I18"/>
    <mergeCell ref="J18:K18"/>
    <mergeCell ref="L18:M18"/>
    <mergeCell ref="N18:O18"/>
    <mergeCell ref="P18:Q18"/>
    <mergeCell ref="R18:S18"/>
    <mergeCell ref="B17:C17"/>
    <mergeCell ref="D17:E17"/>
    <mergeCell ref="F17:G17"/>
    <mergeCell ref="H17:I17"/>
    <mergeCell ref="J17:K17"/>
    <mergeCell ref="L17:M17"/>
    <mergeCell ref="N17:O17"/>
    <mergeCell ref="P17:Q17"/>
    <mergeCell ref="R17:S17"/>
    <mergeCell ref="B16:C16"/>
    <mergeCell ref="D16:E16"/>
    <mergeCell ref="F16:G16"/>
    <mergeCell ref="H16:I16"/>
    <mergeCell ref="J16:K16"/>
    <mergeCell ref="L16:M16"/>
    <mergeCell ref="N16:O16"/>
    <mergeCell ref="P16:Q16"/>
    <mergeCell ref="R16:S16"/>
    <mergeCell ref="B15:C15"/>
    <mergeCell ref="D15:E15"/>
    <mergeCell ref="F15:G15"/>
    <mergeCell ref="H15:I15"/>
    <mergeCell ref="J15:K15"/>
    <mergeCell ref="L15:M15"/>
    <mergeCell ref="N15:O15"/>
    <mergeCell ref="P15:Q15"/>
    <mergeCell ref="R15:S15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B13:C13"/>
    <mergeCell ref="D13:E13"/>
    <mergeCell ref="F13:G13"/>
    <mergeCell ref="H13:I13"/>
    <mergeCell ref="J13:K13"/>
    <mergeCell ref="L13:M13"/>
    <mergeCell ref="N13:O13"/>
    <mergeCell ref="P13:Q13"/>
    <mergeCell ref="R13:S13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B7:C7"/>
    <mergeCell ref="D7:E7"/>
    <mergeCell ref="F7:G7"/>
    <mergeCell ref="H7:I7"/>
    <mergeCell ref="J7:K7"/>
    <mergeCell ref="L7:M7"/>
    <mergeCell ref="N7:O7"/>
    <mergeCell ref="P7:Q7"/>
    <mergeCell ref="R7:S7"/>
    <mergeCell ref="B5:S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A1:M1"/>
    <mergeCell ref="N1:Q1"/>
    <mergeCell ref="R1:U1"/>
    <mergeCell ref="A2:U2"/>
    <mergeCell ref="A3:C3"/>
    <mergeCell ref="D3:G3"/>
    <mergeCell ref="J3:L3"/>
    <mergeCell ref="M3:S3"/>
    <mergeCell ref="B4:S4"/>
  </mergeCells>
  <phoneticPr fontId="31" type="noConversion"/>
  <printOptions horizontalCentered="1"/>
  <pageMargins left="0.55118110236220497" right="0.55118110236220497" top="0.39370078740157499" bottom="0.196850393700787" header="0.511811023622047" footer="0.511811023622047"/>
  <pageSetup paperSize="9" orientation="landscape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43"/>
  <sheetViews>
    <sheetView workbookViewId="0">
      <selection activeCell="B20" sqref="B20:C20"/>
    </sheetView>
  </sheetViews>
  <sheetFormatPr defaultColWidth="9" defaultRowHeight="15" x14ac:dyDescent="0.25"/>
  <cols>
    <col min="1" max="1" width="24.58203125" customWidth="1"/>
    <col min="2" max="19" width="5.58203125" customWidth="1"/>
    <col min="22" max="22" width="9.33203125"/>
  </cols>
  <sheetData>
    <row r="1" spans="1:24" ht="17.5" x14ac:dyDescent="0.25">
      <c r="A1" s="79" t="s">
        <v>59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80" t="s">
        <v>1</v>
      </c>
      <c r="O1" s="80"/>
      <c r="P1" s="80"/>
      <c r="Q1" s="80"/>
      <c r="R1" s="80"/>
      <c r="S1" s="80"/>
      <c r="T1" s="80"/>
      <c r="U1" s="80"/>
    </row>
    <row r="2" spans="1:24" ht="23" x14ac:dyDescent="0.25">
      <c r="A2" s="81" t="s">
        <v>2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</row>
    <row r="3" spans="1:24" ht="19" customHeight="1" x14ac:dyDescent="0.25">
      <c r="A3" s="82" t="s">
        <v>60</v>
      </c>
      <c r="B3" s="82"/>
      <c r="C3" s="82"/>
      <c r="D3" s="82"/>
      <c r="E3" s="82"/>
      <c r="F3" s="82"/>
      <c r="G3" s="82"/>
      <c r="H3" s="20" t="s">
        <v>4</v>
      </c>
      <c r="J3" s="83" t="s">
        <v>5</v>
      </c>
      <c r="K3" s="83"/>
      <c r="L3" s="83"/>
      <c r="M3" s="84" t="s">
        <v>61</v>
      </c>
      <c r="N3" s="84"/>
      <c r="O3" s="84"/>
      <c r="P3" s="84"/>
      <c r="Q3" s="84"/>
      <c r="R3" s="84"/>
      <c r="S3" s="84"/>
      <c r="V3">
        <v>1</v>
      </c>
      <c r="W3">
        <v>380</v>
      </c>
      <c r="X3">
        <v>3</v>
      </c>
    </row>
    <row r="4" spans="1:24" ht="19" customHeight="1" x14ac:dyDescent="0.25">
      <c r="A4" s="21" t="s">
        <v>7</v>
      </c>
      <c r="B4" s="85"/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7"/>
      <c r="V4">
        <v>2</v>
      </c>
      <c r="W4">
        <v>375</v>
      </c>
      <c r="X4">
        <v>5</v>
      </c>
    </row>
    <row r="5" spans="1:24" ht="19" customHeight="1" x14ac:dyDescent="0.25">
      <c r="A5" s="21" t="s">
        <v>9</v>
      </c>
      <c r="B5" s="85" t="s">
        <v>10</v>
      </c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7"/>
      <c r="V5">
        <v>3</v>
      </c>
      <c r="W5">
        <v>371</v>
      </c>
      <c r="X5">
        <v>4</v>
      </c>
    </row>
    <row r="6" spans="1:24" ht="18" customHeight="1" x14ac:dyDescent="0.25">
      <c r="A6" s="21" t="s">
        <v>11</v>
      </c>
      <c r="B6" s="100"/>
      <c r="C6" s="101"/>
      <c r="D6" s="100"/>
      <c r="E6" s="101"/>
      <c r="F6" s="100"/>
      <c r="G6" s="101"/>
      <c r="H6" s="100"/>
      <c r="I6" s="101"/>
      <c r="J6" s="100"/>
      <c r="K6" s="101"/>
      <c r="L6" s="85"/>
      <c r="M6" s="87"/>
      <c r="N6" s="85"/>
      <c r="O6" s="87"/>
      <c r="P6" s="85"/>
      <c r="Q6" s="87"/>
      <c r="R6" s="85"/>
      <c r="S6" s="87"/>
      <c r="V6">
        <v>4</v>
      </c>
      <c r="W6">
        <v>364</v>
      </c>
      <c r="X6">
        <v>11</v>
      </c>
    </row>
    <row r="7" spans="1:24" ht="18" customHeight="1" x14ac:dyDescent="0.25">
      <c r="A7" s="21" t="s">
        <v>62</v>
      </c>
      <c r="B7" s="100"/>
      <c r="C7" s="101"/>
      <c r="D7" s="100"/>
      <c r="E7" s="101"/>
      <c r="F7" s="100"/>
      <c r="G7" s="101"/>
      <c r="H7" s="100"/>
      <c r="I7" s="101"/>
      <c r="J7" s="100"/>
      <c r="K7" s="101"/>
      <c r="L7" s="85"/>
      <c r="M7" s="87"/>
      <c r="N7" s="85"/>
      <c r="O7" s="87"/>
      <c r="P7" s="85"/>
      <c r="Q7" s="87"/>
      <c r="R7" s="85"/>
      <c r="S7" s="87"/>
      <c r="V7">
        <v>5</v>
      </c>
      <c r="W7">
        <v>372</v>
      </c>
      <c r="X7">
        <v>12</v>
      </c>
    </row>
    <row r="8" spans="1:24" ht="18" customHeight="1" x14ac:dyDescent="0.25">
      <c r="A8" s="21" t="s">
        <v>24</v>
      </c>
      <c r="B8" s="102">
        <v>1</v>
      </c>
      <c r="C8" s="102"/>
      <c r="D8" s="100">
        <v>2</v>
      </c>
      <c r="E8" s="101"/>
      <c r="F8" s="100">
        <v>3</v>
      </c>
      <c r="G8" s="101"/>
      <c r="H8" s="103">
        <v>4</v>
      </c>
      <c r="I8" s="104"/>
      <c r="J8" s="103">
        <v>5</v>
      </c>
      <c r="K8" s="104"/>
      <c r="L8" s="105">
        <v>6</v>
      </c>
      <c r="M8" s="106"/>
      <c r="N8" s="105">
        <v>7</v>
      </c>
      <c r="O8" s="106"/>
      <c r="P8" s="85">
        <v>8</v>
      </c>
      <c r="Q8" s="87"/>
      <c r="R8" s="85">
        <v>9</v>
      </c>
      <c r="S8" s="87"/>
      <c r="V8">
        <v>6</v>
      </c>
      <c r="W8">
        <v>368</v>
      </c>
      <c r="X8">
        <v>15</v>
      </c>
    </row>
    <row r="9" spans="1:24" ht="18" customHeight="1" x14ac:dyDescent="0.25">
      <c r="A9" s="21" t="s">
        <v>25</v>
      </c>
      <c r="B9" s="137">
        <v>8356</v>
      </c>
      <c r="C9" s="137"/>
      <c r="D9" s="137">
        <v>8345</v>
      </c>
      <c r="E9" s="137"/>
      <c r="F9" s="137">
        <v>8345</v>
      </c>
      <c r="G9" s="137"/>
      <c r="H9" s="137">
        <v>8338</v>
      </c>
      <c r="I9" s="137"/>
      <c r="J9" s="137">
        <v>8338</v>
      </c>
      <c r="K9" s="137"/>
      <c r="L9" s="137">
        <v>8332</v>
      </c>
      <c r="M9" s="137"/>
      <c r="N9" s="137">
        <v>8330</v>
      </c>
      <c r="O9" s="137"/>
      <c r="P9" s="137">
        <v>8319</v>
      </c>
      <c r="Q9" s="137"/>
      <c r="R9" s="137">
        <v>8319</v>
      </c>
      <c r="S9" s="137"/>
      <c r="V9">
        <v>7</v>
      </c>
      <c r="W9">
        <v>788</v>
      </c>
      <c r="X9">
        <v>14</v>
      </c>
    </row>
    <row r="10" spans="1:24" ht="18" customHeight="1" x14ac:dyDescent="0.25">
      <c r="A10" s="21" t="s">
        <v>26</v>
      </c>
      <c r="B10" s="130">
        <v>5807</v>
      </c>
      <c r="C10" s="131"/>
      <c r="D10" s="130">
        <v>5612</v>
      </c>
      <c r="E10" s="131"/>
      <c r="F10" s="130">
        <v>5736</v>
      </c>
      <c r="G10" s="131"/>
      <c r="H10" s="130">
        <v>5819</v>
      </c>
      <c r="I10" s="131"/>
      <c r="J10" s="130">
        <v>5673</v>
      </c>
      <c r="K10" s="131"/>
      <c r="L10" s="130">
        <v>5746</v>
      </c>
      <c r="M10" s="131"/>
      <c r="N10" s="130">
        <v>5742</v>
      </c>
      <c r="O10" s="131"/>
      <c r="P10" s="130">
        <v>5716</v>
      </c>
      <c r="Q10" s="131"/>
      <c r="R10" s="130">
        <v>5912</v>
      </c>
      <c r="S10" s="131"/>
      <c r="V10">
        <v>8</v>
      </c>
      <c r="W10">
        <v>359</v>
      </c>
      <c r="X10">
        <v>18</v>
      </c>
    </row>
    <row r="11" spans="1:24" ht="26.25" customHeight="1" x14ac:dyDescent="0.25">
      <c r="A11" s="23" t="s">
        <v>27</v>
      </c>
      <c r="B11" s="92">
        <f t="shared" ref="B11:F11" si="0">B43</f>
        <v>730</v>
      </c>
      <c r="C11" s="92"/>
      <c r="D11" s="92">
        <f t="shared" si="0"/>
        <v>730</v>
      </c>
      <c r="E11" s="92"/>
      <c r="F11" s="92">
        <f t="shared" si="0"/>
        <v>730</v>
      </c>
      <c r="G11" s="92"/>
      <c r="H11" s="92">
        <f t="shared" ref="H11:L11" si="1">H43</f>
        <v>730</v>
      </c>
      <c r="I11" s="92"/>
      <c r="J11" s="92">
        <f t="shared" si="1"/>
        <v>730</v>
      </c>
      <c r="K11" s="92"/>
      <c r="L11" s="92">
        <f t="shared" si="1"/>
        <v>730</v>
      </c>
      <c r="M11" s="92"/>
      <c r="N11" s="92">
        <f t="shared" ref="N11:R11" si="2">N43</f>
        <v>730</v>
      </c>
      <c r="O11" s="92"/>
      <c r="P11" s="92">
        <f t="shared" si="2"/>
        <v>730</v>
      </c>
      <c r="Q11" s="92"/>
      <c r="R11" s="92">
        <f t="shared" si="2"/>
        <v>730</v>
      </c>
      <c r="S11" s="92"/>
      <c r="V11">
        <v>9</v>
      </c>
      <c r="W11">
        <v>376</v>
      </c>
      <c r="X11">
        <v>14</v>
      </c>
    </row>
    <row r="12" spans="1:24" ht="18" customHeight="1" x14ac:dyDescent="0.25">
      <c r="A12" s="21" t="s">
        <v>28</v>
      </c>
      <c r="B12" s="118">
        <f t="shared" ref="B12:F12" si="3">B9-B10-B11</f>
        <v>1819</v>
      </c>
      <c r="C12" s="118"/>
      <c r="D12" s="118">
        <f t="shared" si="3"/>
        <v>2003</v>
      </c>
      <c r="E12" s="118"/>
      <c r="F12" s="118">
        <f t="shared" si="3"/>
        <v>1879</v>
      </c>
      <c r="G12" s="118"/>
      <c r="H12" s="118">
        <f t="shared" ref="H12:L12" si="4">H9-H10-H11</f>
        <v>1789</v>
      </c>
      <c r="I12" s="118"/>
      <c r="J12" s="118">
        <f t="shared" si="4"/>
        <v>1935</v>
      </c>
      <c r="K12" s="118"/>
      <c r="L12" s="118">
        <f t="shared" si="4"/>
        <v>1856</v>
      </c>
      <c r="M12" s="118"/>
      <c r="N12" s="118">
        <f t="shared" ref="N12:R12" si="5">N9-N10-N11</f>
        <v>1858</v>
      </c>
      <c r="O12" s="118"/>
      <c r="P12" s="118">
        <f t="shared" si="5"/>
        <v>1873</v>
      </c>
      <c r="Q12" s="118"/>
      <c r="R12" s="118">
        <f t="shared" si="5"/>
        <v>1677</v>
      </c>
      <c r="S12" s="118"/>
      <c r="V12">
        <v>10</v>
      </c>
      <c r="W12">
        <v>377</v>
      </c>
      <c r="X12">
        <v>19</v>
      </c>
    </row>
    <row r="13" spans="1:24" ht="18" customHeight="1" x14ac:dyDescent="0.25">
      <c r="A13" s="21" t="s">
        <v>29</v>
      </c>
      <c r="B13" s="117">
        <v>1.43</v>
      </c>
      <c r="C13" s="117"/>
      <c r="D13" s="117">
        <v>1.43</v>
      </c>
      <c r="E13" s="117"/>
      <c r="F13" s="117">
        <v>1.43</v>
      </c>
      <c r="G13" s="117"/>
      <c r="H13" s="117">
        <v>1.43</v>
      </c>
      <c r="I13" s="117"/>
      <c r="J13" s="117">
        <v>1.43</v>
      </c>
      <c r="K13" s="117"/>
      <c r="L13" s="117">
        <v>1.43</v>
      </c>
      <c r="M13" s="117"/>
      <c r="N13" s="117">
        <v>1.43</v>
      </c>
      <c r="O13" s="117"/>
      <c r="P13" s="117">
        <v>1.43</v>
      </c>
      <c r="Q13" s="117"/>
      <c r="R13" s="117">
        <v>1.43</v>
      </c>
      <c r="S13" s="117"/>
      <c r="V13">
        <v>11</v>
      </c>
      <c r="W13">
        <v>368</v>
      </c>
      <c r="X13">
        <v>12</v>
      </c>
    </row>
    <row r="14" spans="1:24" ht="18" customHeight="1" x14ac:dyDescent="0.25">
      <c r="A14" s="21" t="s">
        <v>31</v>
      </c>
      <c r="B14" s="138" cm="1">
        <f t="array" ref="B14">foursix(B12/B13,0)</f>
        <v>1272</v>
      </c>
      <c r="C14" s="118"/>
      <c r="D14" s="138" cm="1">
        <f t="array" ref="D14">foursix(D12/D13,0)</f>
        <v>1401</v>
      </c>
      <c r="E14" s="118"/>
      <c r="F14" s="138" cm="1">
        <f t="array" ref="F14">foursix(F12/F13,0)</f>
        <v>1314</v>
      </c>
      <c r="G14" s="118"/>
      <c r="H14" s="138" cm="1">
        <f t="array" ref="H14">foursix(H12/H13,0)</f>
        <v>1251</v>
      </c>
      <c r="I14" s="118"/>
      <c r="J14" s="138" cm="1">
        <f t="array" ref="J14">foursix(J12/J13,0)</f>
        <v>1353</v>
      </c>
      <c r="K14" s="118"/>
      <c r="L14" s="138" cm="1">
        <f t="array" ref="L14">foursix(L12/L13,0)</f>
        <v>1298</v>
      </c>
      <c r="M14" s="118"/>
      <c r="N14" s="138" cm="1">
        <f t="array" ref="N14">foursix(N12/N13,0)</f>
        <v>1299</v>
      </c>
      <c r="O14" s="118"/>
      <c r="P14" s="138" cm="1">
        <f t="array" ref="P14">foursix(P12/P13,0)</f>
        <v>1310</v>
      </c>
      <c r="Q14" s="118"/>
      <c r="R14" s="138" cm="1">
        <f t="array" ref="R14">foursix(R12/R13,0)</f>
        <v>1173</v>
      </c>
      <c r="S14" s="118"/>
      <c r="V14">
        <v>12</v>
      </c>
      <c r="W14">
        <v>369</v>
      </c>
      <c r="X14">
        <v>6</v>
      </c>
    </row>
    <row r="15" spans="1:24" ht="18" customHeight="1" x14ac:dyDescent="0.25">
      <c r="A15" s="21" t="s">
        <v>32</v>
      </c>
      <c r="B15" s="137">
        <v>2456</v>
      </c>
      <c r="C15" s="137"/>
      <c r="D15" s="137">
        <v>2668</v>
      </c>
      <c r="E15" s="137"/>
      <c r="F15" s="137">
        <v>2568</v>
      </c>
      <c r="G15" s="137"/>
      <c r="H15" s="137">
        <v>2435</v>
      </c>
      <c r="I15" s="137"/>
      <c r="J15" s="137">
        <v>2621</v>
      </c>
      <c r="K15" s="137"/>
      <c r="L15" s="137">
        <v>2489</v>
      </c>
      <c r="M15" s="137"/>
      <c r="N15" s="137">
        <v>2525</v>
      </c>
      <c r="O15" s="137"/>
      <c r="P15" s="137">
        <v>2533</v>
      </c>
      <c r="Q15" s="137"/>
      <c r="R15" s="137">
        <v>2239</v>
      </c>
      <c r="S15" s="137"/>
      <c r="V15">
        <v>13</v>
      </c>
      <c r="W15">
        <v>367</v>
      </c>
      <c r="X15">
        <v>8</v>
      </c>
    </row>
    <row r="16" spans="1:24" ht="18" customHeight="1" x14ac:dyDescent="0.25">
      <c r="A16" s="21" t="s">
        <v>33</v>
      </c>
      <c r="B16" s="119" cm="1">
        <f t="array" ref="B16">foursix(B15/B14,2)</f>
        <v>1.93</v>
      </c>
      <c r="C16" s="119"/>
      <c r="D16" s="119" cm="1">
        <f t="array" ref="D16">foursix(D15/D14,2)</f>
        <v>1.9</v>
      </c>
      <c r="E16" s="119"/>
      <c r="F16" s="119" cm="1">
        <f t="array" ref="F16">foursix(F15/F14,2)</f>
        <v>1.95</v>
      </c>
      <c r="G16" s="119"/>
      <c r="H16" s="119" cm="1">
        <f t="array" ref="H16">foursix(H15/H14,2)</f>
        <v>1.95</v>
      </c>
      <c r="I16" s="119"/>
      <c r="J16" s="119" cm="1">
        <f t="array" ref="J16">foursix(J15/J14,2)</f>
        <v>1.94</v>
      </c>
      <c r="K16" s="119"/>
      <c r="L16" s="119" cm="1">
        <f t="array" ref="L16">foursix(L15/L14,2)</f>
        <v>1.92</v>
      </c>
      <c r="M16" s="119"/>
      <c r="N16" s="119" cm="1">
        <f t="array" ref="N16">foursix(N15/N14,2)</f>
        <v>1.94</v>
      </c>
      <c r="O16" s="119"/>
      <c r="P16" s="119" cm="1">
        <f t="array" ref="P16">foursix(P15/P14,2)</f>
        <v>1.93</v>
      </c>
      <c r="Q16" s="119"/>
      <c r="R16" s="119" cm="1">
        <f t="array" ref="R16">foursix(R15/R14,2)</f>
        <v>1.91</v>
      </c>
      <c r="S16" s="119"/>
      <c r="V16">
        <v>14</v>
      </c>
      <c r="W16">
        <v>382</v>
      </c>
      <c r="X16">
        <v>11</v>
      </c>
    </row>
    <row r="17" spans="1:24" ht="18" customHeight="1" x14ac:dyDescent="0.25">
      <c r="A17" s="21" t="s">
        <v>34</v>
      </c>
      <c r="B17" s="139">
        <v>2</v>
      </c>
      <c r="C17" s="140"/>
      <c r="D17" s="139">
        <v>4</v>
      </c>
      <c r="E17" s="140"/>
      <c r="F17" s="139">
        <v>6</v>
      </c>
      <c r="G17" s="140"/>
      <c r="H17" s="139">
        <v>3</v>
      </c>
      <c r="I17" s="140"/>
      <c r="J17" s="139">
        <v>5</v>
      </c>
      <c r="K17" s="140"/>
      <c r="L17" s="139">
        <v>1</v>
      </c>
      <c r="M17" s="140"/>
      <c r="N17" s="139">
        <v>12</v>
      </c>
      <c r="O17" s="140"/>
      <c r="P17" s="139">
        <v>11</v>
      </c>
      <c r="Q17" s="140"/>
      <c r="R17" s="139">
        <v>10</v>
      </c>
      <c r="S17" s="140"/>
      <c r="V17">
        <v>15</v>
      </c>
      <c r="W17">
        <v>374</v>
      </c>
      <c r="X17">
        <v>10</v>
      </c>
    </row>
    <row r="18" spans="1:24" ht="18" customHeight="1" x14ac:dyDescent="0.25">
      <c r="A18" s="21" t="s">
        <v>35</v>
      </c>
      <c r="B18" s="128" cm="1">
        <f t="array" ref="B18">INDEX($W:$W,B17+2)</f>
        <v>375</v>
      </c>
      <c r="C18" s="129"/>
      <c r="D18" s="128" cm="1">
        <f t="array" ref="D18">INDEX($W:$W,D17+2)</f>
        <v>364</v>
      </c>
      <c r="E18" s="129"/>
      <c r="F18" s="128" cm="1">
        <f t="array" ref="F18">INDEX($W:$W,F17+2)</f>
        <v>368</v>
      </c>
      <c r="G18" s="129"/>
      <c r="H18" s="128" cm="1">
        <f t="array" ref="H18">INDEX($W:$W,H17+2)</f>
        <v>371</v>
      </c>
      <c r="I18" s="129"/>
      <c r="J18" s="128" cm="1">
        <f t="array" ref="J18">INDEX($W:$W,J17+2)</f>
        <v>372</v>
      </c>
      <c r="K18" s="129"/>
      <c r="L18" s="128" cm="1">
        <f t="array" ref="L18">INDEX($W:$W,L17+2)</f>
        <v>380</v>
      </c>
      <c r="M18" s="129"/>
      <c r="N18" s="128" cm="1">
        <f t="array" ref="N18">INDEX($W:$W,N17+2)</f>
        <v>369</v>
      </c>
      <c r="O18" s="129"/>
      <c r="P18" s="128" cm="1">
        <f t="array" ref="P18">INDEX($W:$W,P17+2)</f>
        <v>368</v>
      </c>
      <c r="Q18" s="129"/>
      <c r="R18" s="128" cm="1">
        <f t="array" ref="R18">INDEX($W:$W,R17+2)</f>
        <v>377</v>
      </c>
      <c r="S18" s="129"/>
    </row>
    <row r="19" spans="1:24" ht="18" customHeight="1" x14ac:dyDescent="0.25">
      <c r="A19" s="21" t="s">
        <v>36</v>
      </c>
      <c r="B19" s="141" cm="1">
        <f t="array" ref="B19">B18+B15-INDEX($X:$X,B17+2)</f>
        <v>2826</v>
      </c>
      <c r="C19" s="142"/>
      <c r="D19" s="141" cm="1">
        <f t="array" ref="D19">D18+D15-INDEX($X:$X,D17+2)</f>
        <v>3021</v>
      </c>
      <c r="E19" s="142"/>
      <c r="F19" s="141" cm="1">
        <f t="array" ref="F19">F18+F15-INDEX($X:$X,F17+2)</f>
        <v>2921</v>
      </c>
      <c r="G19" s="142"/>
      <c r="H19" s="141" cm="1">
        <f t="array" ref="H19">H18+H15-INDEX($X:$X,H17+2)</f>
        <v>2802</v>
      </c>
      <c r="I19" s="142"/>
      <c r="J19" s="141" cm="1">
        <f t="array" ref="J19">J18+J15-INDEX($X:$X,J17+2)</f>
        <v>2981</v>
      </c>
      <c r="K19" s="142"/>
      <c r="L19" s="141" cm="1">
        <f t="array" ref="L19">L18+L15-INDEX($X:$X,L17+2)</f>
        <v>2866</v>
      </c>
      <c r="M19" s="142"/>
      <c r="N19" s="141" cm="1">
        <f t="array" ref="N19">N18+N15-INDEX($X:$X,N17+2)</f>
        <v>2888</v>
      </c>
      <c r="O19" s="142"/>
      <c r="P19" s="141" cm="1">
        <f t="array" ref="P19">P18+P15-INDEX($X:$X,P17+2)</f>
        <v>2889</v>
      </c>
      <c r="Q19" s="142"/>
      <c r="R19" s="141" cm="1">
        <f t="array" ref="R19">R18+R15-INDEX($X:$X,R17+2)</f>
        <v>2597</v>
      </c>
      <c r="S19" s="142"/>
    </row>
    <row r="20" spans="1:24" ht="18" customHeight="1" x14ac:dyDescent="0.25">
      <c r="A20" s="21" t="s">
        <v>37</v>
      </c>
      <c r="B20" s="130">
        <v>2578</v>
      </c>
      <c r="C20" s="131"/>
      <c r="D20" s="130">
        <v>2745</v>
      </c>
      <c r="E20" s="131"/>
      <c r="F20" s="130">
        <v>2645</v>
      </c>
      <c r="G20" s="131"/>
      <c r="H20" s="130">
        <v>2544</v>
      </c>
      <c r="I20" s="131"/>
      <c r="J20" s="130">
        <v>2703</v>
      </c>
      <c r="K20" s="131"/>
      <c r="L20" s="130">
        <v>2612</v>
      </c>
      <c r="M20" s="131"/>
      <c r="N20" s="130">
        <v>2618</v>
      </c>
      <c r="O20" s="131"/>
      <c r="P20" s="130">
        <v>2645</v>
      </c>
      <c r="Q20" s="131"/>
      <c r="R20" s="130">
        <v>2367</v>
      </c>
      <c r="S20" s="131"/>
    </row>
    <row r="21" spans="1:24" s="17" customFormat="1" ht="18" customHeight="1" x14ac:dyDescent="0.25">
      <c r="A21" s="24" t="s">
        <v>38</v>
      </c>
      <c r="B21" s="143" cm="1">
        <f t="array" ref="B21">foursix((B19-B20)/(B20-B18)*100,1)</f>
        <v>11.3</v>
      </c>
      <c r="C21" s="144"/>
      <c r="D21" s="143" cm="1">
        <f t="array" ref="D21">foursix((D19-D20)/(D20-D18)*100,1)</f>
        <v>11.6</v>
      </c>
      <c r="E21" s="144"/>
      <c r="F21" s="143" cm="1">
        <f t="array" ref="F21">foursix((F19-F20)/(F20-F18)*100,1)</f>
        <v>12.1</v>
      </c>
      <c r="G21" s="144"/>
      <c r="H21" s="143" cm="1">
        <f t="array" ref="H21">foursix((H19-H20)/(H20-H18)*100,1)</f>
        <v>11.9</v>
      </c>
      <c r="I21" s="144"/>
      <c r="J21" s="143" cm="1">
        <f t="array" ref="J21">foursix((J19-J20)/(J20-J18)*100,1)</f>
        <v>11.9</v>
      </c>
      <c r="K21" s="144"/>
      <c r="L21" s="143" cm="1">
        <f t="array" ref="L21">foursix((L19-L20)/(L20-L18)*100,1)</f>
        <v>11.4</v>
      </c>
      <c r="M21" s="144"/>
      <c r="N21" s="143" cm="1">
        <f t="array" ref="N21">foursix((N19-N20)/(N20-N18)*100,1)</f>
        <v>12</v>
      </c>
      <c r="O21" s="144"/>
      <c r="P21" s="143" cm="1">
        <f t="array" ref="P21">foursix((P19-P20)/(P20-P18)*100,1)</f>
        <v>10.7</v>
      </c>
      <c r="Q21" s="144"/>
      <c r="R21" s="143" cm="1">
        <f t="array" ref="R21">foursix((R19-R20)/(R20-R18)*100,1)</f>
        <v>11.6</v>
      </c>
      <c r="S21" s="144"/>
    </row>
    <row r="22" spans="1:24" s="17" customFormat="1" ht="18" customHeight="1" x14ac:dyDescent="0.25">
      <c r="A22" s="24" t="s">
        <v>39</v>
      </c>
      <c r="B22" s="119" cm="1">
        <f t="array" ref="B22">foursix(B16/(1+0.01*B21),2)</f>
        <v>1.73</v>
      </c>
      <c r="C22" s="119"/>
      <c r="D22" s="119" cm="1">
        <f t="array" ref="D22">foursix(D16/(1+0.01*D21),2)</f>
        <v>1.7</v>
      </c>
      <c r="E22" s="119"/>
      <c r="F22" s="119" cm="1">
        <f t="array" ref="F22">foursix(F16/(1+0.01*F21),2)</f>
        <v>1.74</v>
      </c>
      <c r="G22" s="119"/>
      <c r="H22" s="119" cm="1">
        <f t="array" ref="H22">foursix(H16/(1+0.01*H21),2)</f>
        <v>1.74</v>
      </c>
      <c r="I22" s="119"/>
      <c r="J22" s="119" cm="1">
        <f t="array" ref="J22">foursix(J16/(1+0.01*J21),2)</f>
        <v>1.73</v>
      </c>
      <c r="K22" s="119"/>
      <c r="L22" s="119" cm="1">
        <f t="array" ref="L22">foursix(L16/(1+0.01*L21),2)</f>
        <v>1.72</v>
      </c>
      <c r="M22" s="119"/>
      <c r="N22" s="119" cm="1">
        <f t="array" ref="N22">foursix(N16/(1+0.01*N21),2)</f>
        <v>1.73</v>
      </c>
      <c r="O22" s="119"/>
      <c r="P22" s="119" cm="1">
        <f t="array" ref="P22">foursix(P16/(1+0.01*P21),2)</f>
        <v>1.74</v>
      </c>
      <c r="Q22" s="119"/>
      <c r="R22" s="119" cm="1">
        <f t="array" ref="R22">foursix(R16/(1+0.01*R21),2)</f>
        <v>1.71</v>
      </c>
      <c r="S22" s="119"/>
    </row>
    <row r="23" spans="1:24" ht="18" customHeight="1" x14ac:dyDescent="0.25">
      <c r="A23" s="21" t="s">
        <v>40</v>
      </c>
      <c r="B23" s="145">
        <v>1.86</v>
      </c>
      <c r="C23" s="145"/>
      <c r="D23" s="145">
        <v>1.86</v>
      </c>
      <c r="E23" s="145"/>
      <c r="F23" s="145">
        <v>1.86</v>
      </c>
      <c r="G23" s="145"/>
      <c r="H23" s="145">
        <v>1.86</v>
      </c>
      <c r="I23" s="145"/>
      <c r="J23" s="145">
        <v>1.86</v>
      </c>
      <c r="K23" s="145"/>
      <c r="L23" s="145">
        <v>1.86</v>
      </c>
      <c r="M23" s="145"/>
      <c r="N23" s="145">
        <v>1.86</v>
      </c>
      <c r="O23" s="145"/>
      <c r="P23" s="145">
        <v>1.86</v>
      </c>
      <c r="Q23" s="145"/>
      <c r="R23" s="145">
        <v>1.86</v>
      </c>
      <c r="S23" s="145"/>
    </row>
    <row r="24" spans="1:24" s="18" customFormat="1" ht="18" customHeight="1" x14ac:dyDescent="0.25">
      <c r="A24" s="26" t="s">
        <v>41</v>
      </c>
      <c r="B24" s="146" cm="1">
        <f t="array" ref="B24">foursix(B22/B23*100,1)</f>
        <v>93</v>
      </c>
      <c r="C24" s="146"/>
      <c r="D24" s="146" cm="1">
        <f t="array" ref="D24">foursix(D22/D23*100,1)</f>
        <v>91.4</v>
      </c>
      <c r="E24" s="146"/>
      <c r="F24" s="146" cm="1">
        <f t="array" ref="F24">foursix(F22/F23*100,1)</f>
        <v>93.5</v>
      </c>
      <c r="G24" s="146"/>
      <c r="H24" s="146" cm="1">
        <f t="array" ref="H24">foursix(H22/H23*100,1)</f>
        <v>93.5</v>
      </c>
      <c r="I24" s="146"/>
      <c r="J24" s="146" cm="1">
        <f t="array" ref="J24">foursix(J22/J23*100,1)</f>
        <v>93</v>
      </c>
      <c r="K24" s="146"/>
      <c r="L24" s="146" cm="1">
        <f t="array" ref="L24">foursix(L22/L23*100,1)</f>
        <v>92.5</v>
      </c>
      <c r="M24" s="146"/>
      <c r="N24" s="146" cm="1">
        <f t="array" ref="N24">foursix(N22/N23*100,1)</f>
        <v>93</v>
      </c>
      <c r="O24" s="146"/>
      <c r="P24" s="146" cm="1">
        <f t="array" ref="P24">foursix(P22/P23*100,1)</f>
        <v>93.5</v>
      </c>
      <c r="Q24" s="146"/>
      <c r="R24" s="146" cm="1">
        <f t="array" ref="R24">foursix(R22/R23*100,1)</f>
        <v>91.9</v>
      </c>
      <c r="S24" s="146"/>
    </row>
    <row r="25" spans="1:24" ht="18" customHeight="1" x14ac:dyDescent="0.25">
      <c r="A25" s="21" t="s">
        <v>42</v>
      </c>
      <c r="B25" s="85" t="s">
        <v>43</v>
      </c>
      <c r="C25" s="86"/>
      <c r="D25" s="86"/>
      <c r="E25" s="86"/>
      <c r="F25" s="86"/>
      <c r="G25" s="86"/>
      <c r="H25" s="86"/>
      <c r="I25" s="86"/>
      <c r="J25" s="86"/>
      <c r="K25" s="86"/>
      <c r="L25" s="86"/>
      <c r="M25" s="86"/>
      <c r="N25" s="86"/>
      <c r="O25" s="86"/>
      <c r="P25" s="86"/>
      <c r="Q25" s="86"/>
      <c r="R25" s="86"/>
      <c r="S25" s="87"/>
    </row>
    <row r="26" spans="1:24" ht="18" customHeight="1" x14ac:dyDescent="0.25">
      <c r="A26" s="21" t="s">
        <v>44</v>
      </c>
      <c r="B26" s="85" t="s">
        <v>45</v>
      </c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7"/>
    </row>
    <row r="27" spans="1:24" ht="18" customHeight="1" x14ac:dyDescent="0.25">
      <c r="A27" s="21" t="s">
        <v>46</v>
      </c>
      <c r="B27" s="85"/>
      <c r="C27" s="86"/>
      <c r="D27" s="86"/>
      <c r="E27" s="86"/>
      <c r="F27" s="86"/>
      <c r="G27" s="86"/>
      <c r="H27" s="86"/>
      <c r="I27" s="86"/>
      <c r="J27" s="86"/>
      <c r="K27" s="86"/>
      <c r="L27" s="86"/>
      <c r="M27" s="86"/>
      <c r="N27" s="86"/>
      <c r="O27" s="86"/>
      <c r="P27" s="86"/>
      <c r="Q27" s="86"/>
      <c r="R27" s="86"/>
      <c r="S27" s="87"/>
      <c r="V27">
        <v>4.55</v>
      </c>
      <c r="W27" s="27">
        <f>IF(ABS(V27-INT(V27))&lt;&gt;0.5,ROUND(V27,0),IF(MOD(INT(V27),2)=0,INT(V27),INT(V27)+SIGN(V27)))</f>
        <v>5</v>
      </c>
    </row>
    <row r="28" spans="1:24" ht="19" customHeight="1" x14ac:dyDescent="0.25">
      <c r="A28" s="28" t="s">
        <v>47</v>
      </c>
      <c r="F28" s="20" t="s">
        <v>48</v>
      </c>
      <c r="K28" s="99" t="s">
        <v>49</v>
      </c>
      <c r="L28" s="99"/>
      <c r="V28">
        <v>4.6509999999999998</v>
      </c>
      <c r="W28" cm="1">
        <f t="array" ref="W28">foursix(V28,1)</f>
        <v>4.7</v>
      </c>
    </row>
    <row r="29" spans="1:24" ht="19" customHeight="1" x14ac:dyDescent="0.25"/>
    <row r="30" spans="1:24" ht="19" customHeight="1" x14ac:dyDescent="0.25">
      <c r="J30" t="s">
        <v>63</v>
      </c>
    </row>
    <row r="31" spans="1:24" ht="19" customHeight="1" x14ac:dyDescent="0.25"/>
    <row r="32" spans="1:24" ht="19" customHeight="1" x14ac:dyDescent="0.25">
      <c r="A32" s="29" t="s">
        <v>25</v>
      </c>
      <c r="B32" s="91">
        <v>9000</v>
      </c>
      <c r="C32" s="91"/>
      <c r="D32" s="91">
        <v>9000</v>
      </c>
      <c r="E32" s="91"/>
      <c r="F32" s="91">
        <v>9000</v>
      </c>
      <c r="G32" s="91"/>
      <c r="H32" s="91">
        <v>9000</v>
      </c>
      <c r="I32" s="91"/>
      <c r="J32" s="91">
        <v>9000</v>
      </c>
      <c r="K32" s="91"/>
      <c r="L32" s="91">
        <v>9000</v>
      </c>
      <c r="M32" s="91"/>
      <c r="N32" s="91">
        <v>9000</v>
      </c>
      <c r="O32" s="91"/>
      <c r="P32" s="91">
        <v>9000</v>
      </c>
      <c r="Q32" s="91"/>
      <c r="R32" s="91">
        <v>9000</v>
      </c>
      <c r="S32" s="91"/>
    </row>
    <row r="33" spans="1:19" ht="19" customHeight="1" x14ac:dyDescent="0.25">
      <c r="A33" s="30" t="s">
        <v>52</v>
      </c>
      <c r="B33" s="111">
        <v>8646</v>
      </c>
      <c r="C33" s="112"/>
      <c r="D33" s="111">
        <v>8826</v>
      </c>
      <c r="E33" s="112"/>
      <c r="F33" s="111">
        <v>8876</v>
      </c>
      <c r="G33" s="112"/>
      <c r="H33" s="111">
        <v>8872</v>
      </c>
      <c r="I33" s="112"/>
      <c r="J33" s="111">
        <v>8890</v>
      </c>
      <c r="K33" s="112"/>
      <c r="L33" s="100">
        <v>8491</v>
      </c>
      <c r="M33" s="101"/>
      <c r="N33" s="100">
        <v>8454</v>
      </c>
      <c r="O33" s="101"/>
      <c r="P33" s="100">
        <v>8443</v>
      </c>
      <c r="Q33" s="101"/>
      <c r="R33" s="100">
        <v>8461</v>
      </c>
      <c r="S33" s="101"/>
    </row>
    <row r="34" spans="1:19" ht="19" customHeight="1" x14ac:dyDescent="0.25">
      <c r="A34" s="30" t="s">
        <v>53</v>
      </c>
      <c r="B34" s="89">
        <f t="shared" ref="B34:F34" si="6">B32-B33</f>
        <v>354</v>
      </c>
      <c r="C34" s="90"/>
      <c r="D34" s="89">
        <f t="shared" si="6"/>
        <v>174</v>
      </c>
      <c r="E34" s="90"/>
      <c r="F34" s="89">
        <f t="shared" si="6"/>
        <v>124</v>
      </c>
      <c r="G34" s="90"/>
      <c r="H34" s="89">
        <f t="shared" ref="H34:L34" si="7">H32-H33</f>
        <v>128</v>
      </c>
      <c r="I34" s="90"/>
      <c r="J34" s="89">
        <f t="shared" si="7"/>
        <v>110</v>
      </c>
      <c r="K34" s="90"/>
      <c r="L34" s="89">
        <f t="shared" si="7"/>
        <v>509</v>
      </c>
      <c r="M34" s="90"/>
      <c r="N34" s="89">
        <f t="shared" ref="N34:R34" si="8">N32-N33</f>
        <v>546</v>
      </c>
      <c r="O34" s="90"/>
      <c r="P34" s="89">
        <f t="shared" si="8"/>
        <v>557</v>
      </c>
      <c r="Q34" s="90"/>
      <c r="R34" s="89">
        <f t="shared" si="8"/>
        <v>539</v>
      </c>
      <c r="S34" s="90"/>
    </row>
    <row r="35" spans="1:19" ht="19" customHeight="1" x14ac:dyDescent="0.25">
      <c r="A35" s="21" t="s">
        <v>26</v>
      </c>
      <c r="B35" s="111">
        <v>6061</v>
      </c>
      <c r="C35" s="112"/>
      <c r="D35" s="111">
        <v>6328</v>
      </c>
      <c r="E35" s="112"/>
      <c r="F35" s="111">
        <v>6426</v>
      </c>
      <c r="G35" s="112"/>
      <c r="H35" s="111">
        <v>6373</v>
      </c>
      <c r="I35" s="112"/>
      <c r="J35" s="111">
        <v>5754</v>
      </c>
      <c r="K35" s="112"/>
      <c r="L35" s="100">
        <v>6150</v>
      </c>
      <c r="M35" s="101"/>
      <c r="N35" s="100">
        <v>6062</v>
      </c>
      <c r="O35" s="101"/>
      <c r="P35" s="100">
        <v>5990</v>
      </c>
      <c r="Q35" s="101"/>
      <c r="R35" s="100">
        <v>5930</v>
      </c>
      <c r="S35" s="101"/>
    </row>
    <row r="36" spans="1:19" ht="19" customHeight="1" x14ac:dyDescent="0.25">
      <c r="A36" s="21" t="s">
        <v>64</v>
      </c>
      <c r="B36" s="89">
        <f t="shared" ref="B36:F36" si="9">B34+B35</f>
        <v>6415</v>
      </c>
      <c r="C36" s="90"/>
      <c r="D36" s="89">
        <f t="shared" si="9"/>
        <v>6502</v>
      </c>
      <c r="E36" s="90"/>
      <c r="F36" s="89">
        <f t="shared" si="9"/>
        <v>6550</v>
      </c>
      <c r="G36" s="90"/>
      <c r="H36" s="89">
        <f t="shared" ref="H36:L36" si="10">H34+H35</f>
        <v>6501</v>
      </c>
      <c r="I36" s="90"/>
      <c r="J36" s="89">
        <f t="shared" si="10"/>
        <v>5864</v>
      </c>
      <c r="K36" s="90"/>
      <c r="L36" s="89">
        <f t="shared" si="10"/>
        <v>6659</v>
      </c>
      <c r="M36" s="90"/>
      <c r="N36" s="89">
        <f t="shared" ref="N36:R36" si="11">N34+N35</f>
        <v>6608</v>
      </c>
      <c r="O36" s="90"/>
      <c r="P36" s="89">
        <f t="shared" si="11"/>
        <v>6547</v>
      </c>
      <c r="Q36" s="90"/>
      <c r="R36" s="89">
        <f t="shared" si="11"/>
        <v>6469</v>
      </c>
      <c r="S36" s="90"/>
    </row>
    <row r="37" spans="1:19" ht="19" customHeight="1" x14ac:dyDescent="0.25">
      <c r="A37" s="31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</row>
    <row r="38" spans="1:19" ht="19" customHeight="1" x14ac:dyDescent="0.25">
      <c r="A38" s="22" t="s">
        <v>56</v>
      </c>
    </row>
    <row r="39" spans="1:19" ht="19" customHeight="1" x14ac:dyDescent="0.25">
      <c r="A39" s="33" t="s">
        <v>51</v>
      </c>
      <c r="B39" s="134">
        <v>8752</v>
      </c>
      <c r="C39" s="135"/>
      <c r="D39" s="134">
        <v>8752</v>
      </c>
      <c r="E39" s="135"/>
      <c r="F39" s="134">
        <v>8752</v>
      </c>
      <c r="G39" s="135"/>
      <c r="H39" s="134">
        <v>8752</v>
      </c>
      <c r="I39" s="135"/>
      <c r="J39" s="134">
        <v>8752</v>
      </c>
      <c r="K39" s="135"/>
      <c r="L39" s="134">
        <v>8752</v>
      </c>
      <c r="M39" s="135"/>
      <c r="N39" s="134">
        <v>8752</v>
      </c>
      <c r="O39" s="135"/>
      <c r="P39" s="134">
        <v>8752</v>
      </c>
      <c r="Q39" s="135"/>
      <c r="R39" s="134">
        <v>8752</v>
      </c>
      <c r="S39" s="135"/>
    </row>
    <row r="40" spans="1:19" ht="19" customHeight="1" x14ac:dyDescent="0.25">
      <c r="A40" s="33" t="s">
        <v>54</v>
      </c>
      <c r="B40" s="134">
        <v>8022</v>
      </c>
      <c r="C40" s="135"/>
      <c r="D40" s="134">
        <v>8022</v>
      </c>
      <c r="E40" s="135"/>
      <c r="F40" s="134">
        <v>8022</v>
      </c>
      <c r="G40" s="135"/>
      <c r="H40" s="134">
        <v>8022</v>
      </c>
      <c r="I40" s="135"/>
      <c r="J40" s="134">
        <v>8022</v>
      </c>
      <c r="K40" s="135"/>
      <c r="L40" s="134">
        <v>8022</v>
      </c>
      <c r="M40" s="135"/>
      <c r="N40" s="134">
        <v>8022</v>
      </c>
      <c r="O40" s="135"/>
      <c r="P40" s="134">
        <v>8022</v>
      </c>
      <c r="Q40" s="135"/>
      <c r="R40" s="134">
        <v>8022</v>
      </c>
      <c r="S40" s="135"/>
    </row>
    <row r="41" spans="1:19" x14ac:dyDescent="0.25">
      <c r="A41" s="33" t="s">
        <v>57</v>
      </c>
      <c r="B41" s="136">
        <v>710</v>
      </c>
      <c r="C41" s="136"/>
      <c r="D41" s="136">
        <v>710</v>
      </c>
      <c r="E41" s="136"/>
      <c r="F41" s="136">
        <v>710</v>
      </c>
      <c r="G41" s="136"/>
      <c r="H41" s="136">
        <v>710</v>
      </c>
      <c r="I41" s="136"/>
      <c r="J41" s="136">
        <v>710</v>
      </c>
      <c r="K41" s="136"/>
      <c r="L41" s="136">
        <v>710</v>
      </c>
      <c r="M41" s="136"/>
      <c r="N41" s="136">
        <v>710</v>
      </c>
      <c r="O41" s="136"/>
      <c r="P41" s="136">
        <v>710</v>
      </c>
      <c r="Q41" s="136"/>
      <c r="R41" s="136">
        <v>710</v>
      </c>
      <c r="S41" s="136"/>
    </row>
    <row r="42" spans="1:19" x14ac:dyDescent="0.25">
      <c r="A42" s="33" t="s">
        <v>58</v>
      </c>
      <c r="B42" s="103">
        <f t="shared" ref="B42:F42" si="12">B39-B40-B41</f>
        <v>20</v>
      </c>
      <c r="C42" s="104"/>
      <c r="D42" s="103">
        <f t="shared" si="12"/>
        <v>20</v>
      </c>
      <c r="E42" s="104"/>
      <c r="F42" s="103">
        <f t="shared" si="12"/>
        <v>20</v>
      </c>
      <c r="G42" s="104"/>
      <c r="H42" s="103">
        <f t="shared" ref="H42:L42" si="13">H39-H40-H41</f>
        <v>20</v>
      </c>
      <c r="I42" s="104"/>
      <c r="J42" s="103">
        <f t="shared" si="13"/>
        <v>20</v>
      </c>
      <c r="K42" s="104"/>
      <c r="L42" s="103">
        <f t="shared" si="13"/>
        <v>20</v>
      </c>
      <c r="M42" s="104"/>
      <c r="N42" s="103">
        <f t="shared" ref="N42:R42" si="14">N39-N40-N41</f>
        <v>20</v>
      </c>
      <c r="O42" s="104"/>
      <c r="P42" s="103">
        <f t="shared" si="14"/>
        <v>20</v>
      </c>
      <c r="Q42" s="104"/>
      <c r="R42" s="103">
        <f t="shared" si="14"/>
        <v>20</v>
      </c>
      <c r="S42" s="104"/>
    </row>
    <row r="43" spans="1:19" ht="26.25" customHeight="1" x14ac:dyDescent="0.25">
      <c r="A43" s="23" t="s">
        <v>27</v>
      </c>
      <c r="B43" s="103">
        <f t="shared" ref="B43:F43" si="15">B41+B42</f>
        <v>730</v>
      </c>
      <c r="C43" s="104"/>
      <c r="D43" s="103">
        <f t="shared" si="15"/>
        <v>730</v>
      </c>
      <c r="E43" s="104"/>
      <c r="F43" s="103">
        <f t="shared" si="15"/>
        <v>730</v>
      </c>
      <c r="G43" s="104"/>
      <c r="H43" s="103">
        <f t="shared" ref="H43:L43" si="16">H41+H42</f>
        <v>730</v>
      </c>
      <c r="I43" s="104"/>
      <c r="J43" s="103">
        <f t="shared" si="16"/>
        <v>730</v>
      </c>
      <c r="K43" s="104"/>
      <c r="L43" s="103">
        <f t="shared" si="16"/>
        <v>730</v>
      </c>
      <c r="M43" s="104"/>
      <c r="N43" s="103">
        <f t="shared" ref="N43:R43" si="17">N41+N42</f>
        <v>730</v>
      </c>
      <c r="O43" s="104"/>
      <c r="P43" s="103">
        <f t="shared" si="17"/>
        <v>730</v>
      </c>
      <c r="Q43" s="104"/>
      <c r="R43" s="103">
        <f t="shared" si="17"/>
        <v>730</v>
      </c>
      <c r="S43" s="104"/>
    </row>
  </sheetData>
  <mergeCells count="275">
    <mergeCell ref="B43:C43"/>
    <mergeCell ref="D43:E43"/>
    <mergeCell ref="F43:G43"/>
    <mergeCell ref="H43:I43"/>
    <mergeCell ref="J43:K43"/>
    <mergeCell ref="L43:M43"/>
    <mergeCell ref="N43:O43"/>
    <mergeCell ref="P43:Q43"/>
    <mergeCell ref="R43:S43"/>
    <mergeCell ref="B42:C42"/>
    <mergeCell ref="D42:E42"/>
    <mergeCell ref="F42:G42"/>
    <mergeCell ref="H42:I42"/>
    <mergeCell ref="J42:K42"/>
    <mergeCell ref="L42:M42"/>
    <mergeCell ref="N42:O42"/>
    <mergeCell ref="P42:Q42"/>
    <mergeCell ref="R42:S42"/>
    <mergeCell ref="B41:C41"/>
    <mergeCell ref="D41:E41"/>
    <mergeCell ref="F41:G41"/>
    <mergeCell ref="H41:I41"/>
    <mergeCell ref="J41:K41"/>
    <mergeCell ref="L41:M41"/>
    <mergeCell ref="N41:O41"/>
    <mergeCell ref="P41:Q41"/>
    <mergeCell ref="R41:S41"/>
    <mergeCell ref="B40:C40"/>
    <mergeCell ref="D40:E40"/>
    <mergeCell ref="F40:G40"/>
    <mergeCell ref="H40:I40"/>
    <mergeCell ref="J40:K40"/>
    <mergeCell ref="L40:M40"/>
    <mergeCell ref="N40:O40"/>
    <mergeCell ref="P40:Q40"/>
    <mergeCell ref="R40:S40"/>
    <mergeCell ref="B39:C39"/>
    <mergeCell ref="D39:E39"/>
    <mergeCell ref="F39:G39"/>
    <mergeCell ref="H39:I39"/>
    <mergeCell ref="J39:K39"/>
    <mergeCell ref="L39:M39"/>
    <mergeCell ref="N39:O39"/>
    <mergeCell ref="P39:Q39"/>
    <mergeCell ref="R39:S39"/>
    <mergeCell ref="B36:C36"/>
    <mergeCell ref="D36:E36"/>
    <mergeCell ref="F36:G36"/>
    <mergeCell ref="H36:I36"/>
    <mergeCell ref="J36:K36"/>
    <mergeCell ref="L36:M36"/>
    <mergeCell ref="N36:O36"/>
    <mergeCell ref="P36:Q36"/>
    <mergeCell ref="R36:S36"/>
    <mergeCell ref="B35:C35"/>
    <mergeCell ref="D35:E35"/>
    <mergeCell ref="F35:G35"/>
    <mergeCell ref="H35:I35"/>
    <mergeCell ref="J35:K35"/>
    <mergeCell ref="L35:M35"/>
    <mergeCell ref="N35:O35"/>
    <mergeCell ref="P35:Q35"/>
    <mergeCell ref="R35:S35"/>
    <mergeCell ref="B34:C34"/>
    <mergeCell ref="D34:E34"/>
    <mergeCell ref="F34:G34"/>
    <mergeCell ref="H34:I34"/>
    <mergeCell ref="J34:K34"/>
    <mergeCell ref="L34:M34"/>
    <mergeCell ref="N34:O34"/>
    <mergeCell ref="P34:Q34"/>
    <mergeCell ref="R34:S34"/>
    <mergeCell ref="B33:C33"/>
    <mergeCell ref="D33:E33"/>
    <mergeCell ref="F33:G33"/>
    <mergeCell ref="H33:I33"/>
    <mergeCell ref="J33:K33"/>
    <mergeCell ref="L33:M33"/>
    <mergeCell ref="N33:O33"/>
    <mergeCell ref="P33:Q33"/>
    <mergeCell ref="R33:S33"/>
    <mergeCell ref="B25:S25"/>
    <mergeCell ref="B26:S26"/>
    <mergeCell ref="B27:S27"/>
    <mergeCell ref="K28:L28"/>
    <mergeCell ref="B32:C32"/>
    <mergeCell ref="D32:E32"/>
    <mergeCell ref="F32:G32"/>
    <mergeCell ref="H32:I32"/>
    <mergeCell ref="J32:K32"/>
    <mergeCell ref="L32:M32"/>
    <mergeCell ref="N32:O32"/>
    <mergeCell ref="P32:Q32"/>
    <mergeCell ref="R32:S32"/>
    <mergeCell ref="B24:C24"/>
    <mergeCell ref="D24:E24"/>
    <mergeCell ref="F24:G24"/>
    <mergeCell ref="H24:I24"/>
    <mergeCell ref="J24:K24"/>
    <mergeCell ref="L24:M24"/>
    <mergeCell ref="N24:O24"/>
    <mergeCell ref="P24:Q24"/>
    <mergeCell ref="R24:S24"/>
    <mergeCell ref="B23:C23"/>
    <mergeCell ref="D23:E23"/>
    <mergeCell ref="F23:G23"/>
    <mergeCell ref="H23:I23"/>
    <mergeCell ref="J23:K23"/>
    <mergeCell ref="L23:M23"/>
    <mergeCell ref="N23:O23"/>
    <mergeCell ref="P23:Q23"/>
    <mergeCell ref="R23:S23"/>
    <mergeCell ref="B22:C22"/>
    <mergeCell ref="D22:E22"/>
    <mergeCell ref="F22:G22"/>
    <mergeCell ref="H22:I22"/>
    <mergeCell ref="J22:K22"/>
    <mergeCell ref="L22:M22"/>
    <mergeCell ref="N22:O22"/>
    <mergeCell ref="P22:Q22"/>
    <mergeCell ref="R22:S22"/>
    <mergeCell ref="B21:C21"/>
    <mergeCell ref="D21:E21"/>
    <mergeCell ref="F21:G21"/>
    <mergeCell ref="H21:I21"/>
    <mergeCell ref="J21:K21"/>
    <mergeCell ref="L21:M21"/>
    <mergeCell ref="N21:O21"/>
    <mergeCell ref="P21:Q21"/>
    <mergeCell ref="R21:S21"/>
    <mergeCell ref="B20:C20"/>
    <mergeCell ref="D20:E20"/>
    <mergeCell ref="F20:G20"/>
    <mergeCell ref="H20:I20"/>
    <mergeCell ref="J20:K20"/>
    <mergeCell ref="L20:M20"/>
    <mergeCell ref="N20:O20"/>
    <mergeCell ref="P20:Q20"/>
    <mergeCell ref="R20:S20"/>
    <mergeCell ref="B19:C19"/>
    <mergeCell ref="D19:E19"/>
    <mergeCell ref="F19:G19"/>
    <mergeCell ref="H19:I19"/>
    <mergeCell ref="J19:K19"/>
    <mergeCell ref="L19:M19"/>
    <mergeCell ref="N19:O19"/>
    <mergeCell ref="P19:Q19"/>
    <mergeCell ref="R19:S19"/>
    <mergeCell ref="B18:C18"/>
    <mergeCell ref="D18:E18"/>
    <mergeCell ref="F18:G18"/>
    <mergeCell ref="H18:I18"/>
    <mergeCell ref="J18:K18"/>
    <mergeCell ref="L18:M18"/>
    <mergeCell ref="N18:O18"/>
    <mergeCell ref="P18:Q18"/>
    <mergeCell ref="R18:S18"/>
    <mergeCell ref="B17:C17"/>
    <mergeCell ref="D17:E17"/>
    <mergeCell ref="F17:G17"/>
    <mergeCell ref="H17:I17"/>
    <mergeCell ref="J17:K17"/>
    <mergeCell ref="L17:M17"/>
    <mergeCell ref="N17:O17"/>
    <mergeCell ref="P17:Q17"/>
    <mergeCell ref="R17:S17"/>
    <mergeCell ref="B16:C16"/>
    <mergeCell ref="D16:E16"/>
    <mergeCell ref="F16:G16"/>
    <mergeCell ref="H16:I16"/>
    <mergeCell ref="J16:K16"/>
    <mergeCell ref="L16:M16"/>
    <mergeCell ref="N16:O16"/>
    <mergeCell ref="P16:Q16"/>
    <mergeCell ref="R16:S16"/>
    <mergeCell ref="B15:C15"/>
    <mergeCell ref="D15:E15"/>
    <mergeCell ref="F15:G15"/>
    <mergeCell ref="H15:I15"/>
    <mergeCell ref="J15:K15"/>
    <mergeCell ref="L15:M15"/>
    <mergeCell ref="N15:O15"/>
    <mergeCell ref="P15:Q15"/>
    <mergeCell ref="R15:S15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B13:C13"/>
    <mergeCell ref="D13:E13"/>
    <mergeCell ref="F13:G13"/>
    <mergeCell ref="H13:I13"/>
    <mergeCell ref="J13:K13"/>
    <mergeCell ref="L13:M13"/>
    <mergeCell ref="N13:O13"/>
    <mergeCell ref="P13:Q13"/>
    <mergeCell ref="R13:S13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B7:C7"/>
    <mergeCell ref="D7:E7"/>
    <mergeCell ref="F7:G7"/>
    <mergeCell ref="H7:I7"/>
    <mergeCell ref="J7:K7"/>
    <mergeCell ref="L7:M7"/>
    <mergeCell ref="N7:O7"/>
    <mergeCell ref="P7:Q7"/>
    <mergeCell ref="R7:S7"/>
    <mergeCell ref="B5:S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A1:M1"/>
    <mergeCell ref="N1:Q1"/>
    <mergeCell ref="R1:U1"/>
    <mergeCell ref="A2:U2"/>
    <mergeCell ref="A3:C3"/>
    <mergeCell ref="D3:G3"/>
    <mergeCell ref="J3:L3"/>
    <mergeCell ref="M3:S3"/>
    <mergeCell ref="B4:S4"/>
  </mergeCells>
  <phoneticPr fontId="31" type="noConversion"/>
  <printOptions horizontalCentered="1"/>
  <pageMargins left="0.55118110236220497" right="0.55118110236220497" top="0.39370078740157499" bottom="0.196850393700787" header="0.511811023622047" footer="0.511811023622047"/>
  <pageSetup paperSize="9" orientation="landscape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M43"/>
  <sheetViews>
    <sheetView workbookViewId="0">
      <selection activeCell="Y36" sqref="Y36"/>
    </sheetView>
  </sheetViews>
  <sheetFormatPr defaultColWidth="9" defaultRowHeight="15" x14ac:dyDescent="0.25"/>
  <cols>
    <col min="1" max="1" width="24.58203125" customWidth="1"/>
    <col min="2" max="19" width="5.58203125" customWidth="1"/>
    <col min="22" max="22" width="9.33203125"/>
  </cols>
  <sheetData>
    <row r="1" spans="1:24" ht="17.5" x14ac:dyDescent="0.25">
      <c r="A1" s="79" t="s">
        <v>59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80" t="s">
        <v>1</v>
      </c>
      <c r="O1" s="80"/>
      <c r="P1" s="80"/>
      <c r="Q1" s="80"/>
      <c r="R1" s="80"/>
      <c r="S1" s="80"/>
      <c r="T1" s="80"/>
      <c r="U1" s="80"/>
    </row>
    <row r="2" spans="1:24" ht="23" x14ac:dyDescent="0.25">
      <c r="A2" s="81" t="s">
        <v>2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</row>
    <row r="3" spans="1:24" ht="19" customHeight="1" x14ac:dyDescent="0.25">
      <c r="A3" s="82" t="s">
        <v>60</v>
      </c>
      <c r="B3" s="82"/>
      <c r="C3" s="82"/>
      <c r="D3" s="82"/>
      <c r="E3" s="82"/>
      <c r="F3" s="82"/>
      <c r="G3" s="82"/>
      <c r="H3" s="20" t="s">
        <v>4</v>
      </c>
      <c r="J3" s="83" t="s">
        <v>5</v>
      </c>
      <c r="K3" s="83"/>
      <c r="L3" s="83"/>
      <c r="M3" s="84" t="s">
        <v>61</v>
      </c>
      <c r="N3" s="84"/>
      <c r="O3" s="84"/>
      <c r="P3" s="84"/>
      <c r="Q3" s="84"/>
      <c r="R3" s="84"/>
      <c r="S3" s="84"/>
      <c r="V3">
        <v>1</v>
      </c>
      <c r="W3">
        <v>380</v>
      </c>
      <c r="X3">
        <v>4</v>
      </c>
    </row>
    <row r="4" spans="1:24" ht="19" customHeight="1" x14ac:dyDescent="0.25">
      <c r="A4" s="21" t="s">
        <v>7</v>
      </c>
      <c r="B4" s="85"/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7"/>
      <c r="V4">
        <v>2</v>
      </c>
      <c r="W4">
        <v>375</v>
      </c>
      <c r="X4">
        <v>2</v>
      </c>
    </row>
    <row r="5" spans="1:24" ht="19" customHeight="1" x14ac:dyDescent="0.25">
      <c r="A5" s="21" t="s">
        <v>9</v>
      </c>
      <c r="B5" s="85" t="s">
        <v>10</v>
      </c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7"/>
      <c r="V5">
        <v>3</v>
      </c>
      <c r="W5">
        <v>371</v>
      </c>
      <c r="X5">
        <v>4</v>
      </c>
    </row>
    <row r="6" spans="1:24" ht="18" customHeight="1" x14ac:dyDescent="0.25">
      <c r="A6" s="21" t="s">
        <v>11</v>
      </c>
      <c r="B6" s="100"/>
      <c r="C6" s="101"/>
      <c r="D6" s="100"/>
      <c r="E6" s="101"/>
      <c r="F6" s="100"/>
      <c r="G6" s="101"/>
      <c r="H6" s="100"/>
      <c r="I6" s="101"/>
      <c r="J6" s="100"/>
      <c r="K6" s="101"/>
      <c r="L6" s="85"/>
      <c r="M6" s="87"/>
      <c r="N6" s="85"/>
      <c r="O6" s="87"/>
      <c r="P6" s="85"/>
      <c r="Q6" s="87"/>
      <c r="R6" s="85"/>
      <c r="S6" s="87"/>
      <c r="U6" s="147">
        <v>92.4</v>
      </c>
      <c r="V6">
        <v>4</v>
      </c>
      <c r="W6">
        <v>364</v>
      </c>
      <c r="X6">
        <v>7</v>
      </c>
    </row>
    <row r="7" spans="1:24" ht="18" customHeight="1" x14ac:dyDescent="0.25">
      <c r="A7" s="21" t="s">
        <v>62</v>
      </c>
      <c r="B7" s="100"/>
      <c r="C7" s="101"/>
      <c r="D7" s="100"/>
      <c r="E7" s="101"/>
      <c r="F7" s="100"/>
      <c r="G7" s="101"/>
      <c r="H7" s="100"/>
      <c r="I7" s="101"/>
      <c r="J7" s="100"/>
      <c r="K7" s="101"/>
      <c r="L7" s="85"/>
      <c r="M7" s="87"/>
      <c r="N7" s="85"/>
      <c r="O7" s="87"/>
      <c r="P7" s="85"/>
      <c r="Q7" s="87"/>
      <c r="R7" s="85"/>
      <c r="S7" s="87"/>
      <c r="U7" s="147"/>
      <c r="V7">
        <v>5</v>
      </c>
      <c r="W7">
        <v>372</v>
      </c>
      <c r="X7">
        <v>8</v>
      </c>
    </row>
    <row r="8" spans="1:24" ht="18" customHeight="1" x14ac:dyDescent="0.25">
      <c r="A8" s="21" t="s">
        <v>24</v>
      </c>
      <c r="B8" s="102">
        <v>1</v>
      </c>
      <c r="C8" s="102"/>
      <c r="D8" s="100">
        <v>2</v>
      </c>
      <c r="E8" s="101"/>
      <c r="F8" s="100">
        <v>3</v>
      </c>
      <c r="G8" s="101"/>
      <c r="H8" s="103">
        <v>4</v>
      </c>
      <c r="I8" s="104"/>
      <c r="J8" s="103">
        <v>5</v>
      </c>
      <c r="K8" s="104"/>
      <c r="L8" s="105">
        <v>6</v>
      </c>
      <c r="M8" s="106"/>
      <c r="N8" s="105">
        <v>7</v>
      </c>
      <c r="O8" s="106"/>
      <c r="P8" s="85">
        <v>8</v>
      </c>
      <c r="Q8" s="87"/>
      <c r="R8" s="85">
        <v>9</v>
      </c>
      <c r="S8" s="87"/>
      <c r="U8" s="147">
        <v>91.4</v>
      </c>
      <c r="V8">
        <v>6</v>
      </c>
      <c r="W8">
        <v>368</v>
      </c>
      <c r="X8">
        <v>10</v>
      </c>
    </row>
    <row r="9" spans="1:24" ht="18" customHeight="1" x14ac:dyDescent="0.25">
      <c r="A9" s="21" t="s">
        <v>25</v>
      </c>
      <c r="B9" s="137">
        <v>8345</v>
      </c>
      <c r="C9" s="137"/>
      <c r="D9" s="137">
        <v>8338</v>
      </c>
      <c r="E9" s="137"/>
      <c r="F9" s="137">
        <v>8337</v>
      </c>
      <c r="G9" s="137"/>
      <c r="H9" s="137">
        <v>8332</v>
      </c>
      <c r="I9" s="137"/>
      <c r="J9" s="137">
        <v>8332</v>
      </c>
      <c r="K9" s="137"/>
      <c r="L9" s="137">
        <v>8325</v>
      </c>
      <c r="M9" s="137"/>
      <c r="N9" s="137">
        <v>8320</v>
      </c>
      <c r="O9" s="137"/>
      <c r="P9" s="137">
        <v>8320</v>
      </c>
      <c r="Q9" s="137"/>
      <c r="R9" s="137">
        <v>8317</v>
      </c>
      <c r="S9" s="137"/>
      <c r="U9" s="147"/>
      <c r="V9">
        <v>7</v>
      </c>
      <c r="W9">
        <v>788</v>
      </c>
      <c r="X9">
        <v>11</v>
      </c>
    </row>
    <row r="10" spans="1:24" ht="18" customHeight="1" x14ac:dyDescent="0.25">
      <c r="A10" s="21" t="s">
        <v>26</v>
      </c>
      <c r="B10" s="130">
        <v>5575</v>
      </c>
      <c r="C10" s="131"/>
      <c r="D10" s="130">
        <v>5412</v>
      </c>
      <c r="E10" s="131"/>
      <c r="F10" s="130">
        <v>5746</v>
      </c>
      <c r="G10" s="131"/>
      <c r="H10" s="130">
        <v>5913</v>
      </c>
      <c r="I10" s="131"/>
      <c r="J10" s="130">
        <v>5431</v>
      </c>
      <c r="K10" s="131"/>
      <c r="L10" s="130">
        <v>6088</v>
      </c>
      <c r="M10" s="131"/>
      <c r="N10" s="130">
        <v>5811</v>
      </c>
      <c r="O10" s="131"/>
      <c r="P10" s="130">
        <v>5799</v>
      </c>
      <c r="Q10" s="131"/>
      <c r="R10" s="130">
        <v>5903</v>
      </c>
      <c r="S10" s="131"/>
      <c r="U10" s="147">
        <v>94.6</v>
      </c>
      <c r="V10">
        <v>8</v>
      </c>
      <c r="W10">
        <v>359</v>
      </c>
      <c r="X10">
        <v>12</v>
      </c>
    </row>
    <row r="11" spans="1:24" ht="26.25" customHeight="1" x14ac:dyDescent="0.25">
      <c r="A11" s="23" t="s">
        <v>27</v>
      </c>
      <c r="B11" s="92">
        <f t="shared" ref="B11:F11" si="0">B43</f>
        <v>730</v>
      </c>
      <c r="C11" s="92"/>
      <c r="D11" s="92">
        <f t="shared" si="0"/>
        <v>730</v>
      </c>
      <c r="E11" s="92"/>
      <c r="F11" s="92">
        <f t="shared" si="0"/>
        <v>730</v>
      </c>
      <c r="G11" s="92"/>
      <c r="H11" s="92">
        <f t="shared" ref="H11:L11" si="1">H43</f>
        <v>730</v>
      </c>
      <c r="I11" s="92"/>
      <c r="J11" s="92">
        <f t="shared" si="1"/>
        <v>730</v>
      </c>
      <c r="K11" s="92"/>
      <c r="L11" s="92">
        <f t="shared" si="1"/>
        <v>730</v>
      </c>
      <c r="M11" s="92"/>
      <c r="N11" s="92">
        <f t="shared" ref="N11:R11" si="2">N43</f>
        <v>730</v>
      </c>
      <c r="O11" s="92"/>
      <c r="P11" s="92">
        <f t="shared" si="2"/>
        <v>730</v>
      </c>
      <c r="Q11" s="92"/>
      <c r="R11" s="92">
        <f t="shared" si="2"/>
        <v>730</v>
      </c>
      <c r="S11" s="92"/>
      <c r="U11" s="147"/>
      <c r="V11">
        <v>9</v>
      </c>
      <c r="W11">
        <v>376</v>
      </c>
      <c r="X11">
        <v>15</v>
      </c>
    </row>
    <row r="12" spans="1:24" ht="18" customHeight="1" x14ac:dyDescent="0.25">
      <c r="A12" s="21" t="s">
        <v>28</v>
      </c>
      <c r="B12" s="118">
        <f t="shared" ref="B12:F12" si="3">B9-B10-B11</f>
        <v>2040</v>
      </c>
      <c r="C12" s="118"/>
      <c r="D12" s="118">
        <f t="shared" si="3"/>
        <v>2196</v>
      </c>
      <c r="E12" s="118"/>
      <c r="F12" s="118">
        <f t="shared" si="3"/>
        <v>1861</v>
      </c>
      <c r="G12" s="118"/>
      <c r="H12" s="118">
        <f t="shared" ref="H12:L12" si="4">H9-H10-H11</f>
        <v>1689</v>
      </c>
      <c r="I12" s="118"/>
      <c r="J12" s="118">
        <f t="shared" si="4"/>
        <v>2171</v>
      </c>
      <c r="K12" s="118"/>
      <c r="L12" s="118">
        <f t="shared" si="4"/>
        <v>1507</v>
      </c>
      <c r="M12" s="118"/>
      <c r="N12" s="118">
        <f t="shared" ref="N12:R12" si="5">N9-N10-N11</f>
        <v>1779</v>
      </c>
      <c r="O12" s="118"/>
      <c r="P12" s="118">
        <f t="shared" si="5"/>
        <v>1791</v>
      </c>
      <c r="Q12" s="118"/>
      <c r="R12" s="118">
        <f t="shared" si="5"/>
        <v>1684</v>
      </c>
      <c r="S12" s="118"/>
      <c r="U12" s="147">
        <v>93.5</v>
      </c>
      <c r="V12">
        <v>10</v>
      </c>
      <c r="W12">
        <v>377</v>
      </c>
      <c r="X12">
        <v>12</v>
      </c>
    </row>
    <row r="13" spans="1:24" ht="18" customHeight="1" x14ac:dyDescent="0.25">
      <c r="A13" s="21" t="s">
        <v>29</v>
      </c>
      <c r="B13" s="117">
        <v>1.43</v>
      </c>
      <c r="C13" s="117"/>
      <c r="D13" s="117">
        <v>1.43</v>
      </c>
      <c r="E13" s="117"/>
      <c r="F13" s="117">
        <v>1.43</v>
      </c>
      <c r="G13" s="117"/>
      <c r="H13" s="117">
        <v>1.43</v>
      </c>
      <c r="I13" s="117"/>
      <c r="J13" s="117">
        <v>1.43</v>
      </c>
      <c r="K13" s="117"/>
      <c r="L13" s="117">
        <v>1.43</v>
      </c>
      <c r="M13" s="117"/>
      <c r="N13" s="117">
        <v>1.43</v>
      </c>
      <c r="O13" s="117"/>
      <c r="P13" s="117">
        <v>1.43</v>
      </c>
      <c r="Q13" s="117"/>
      <c r="R13" s="117">
        <v>1.43</v>
      </c>
      <c r="S13" s="117"/>
      <c r="U13" s="147"/>
      <c r="V13">
        <v>11</v>
      </c>
      <c r="W13">
        <v>368</v>
      </c>
      <c r="X13">
        <v>12</v>
      </c>
    </row>
    <row r="14" spans="1:24" ht="18" customHeight="1" x14ac:dyDescent="0.25">
      <c r="A14" s="21" t="s">
        <v>31</v>
      </c>
      <c r="B14" s="138" cm="1">
        <f t="array" ref="B14">foursix(B12/B13,0)</f>
        <v>1427</v>
      </c>
      <c r="C14" s="118"/>
      <c r="D14" s="138" cm="1">
        <f t="array" ref="D14">foursix(D12/D13,0)</f>
        <v>1536</v>
      </c>
      <c r="E14" s="118"/>
      <c r="F14" s="138" cm="1">
        <f t="array" ref="F14">foursix(F12/F13,0)</f>
        <v>1301</v>
      </c>
      <c r="G14" s="118"/>
      <c r="H14" s="138" cm="1">
        <f t="array" ref="H14">foursix(H12/H13,0)</f>
        <v>1181</v>
      </c>
      <c r="I14" s="118"/>
      <c r="J14" s="138" cm="1">
        <f t="array" ref="J14">foursix(J12/J13,0)</f>
        <v>1518</v>
      </c>
      <c r="K14" s="118"/>
      <c r="L14" s="138" cm="1">
        <f t="array" ref="L14">foursix(L12/L13,0)</f>
        <v>1054</v>
      </c>
      <c r="M14" s="118"/>
      <c r="N14" s="138" cm="1">
        <f t="array" ref="N14">foursix(N12/N13,0)</f>
        <v>1244</v>
      </c>
      <c r="O14" s="118"/>
      <c r="P14" s="138" cm="1">
        <f t="array" ref="P14">foursix(P12/P13,0)</f>
        <v>1252</v>
      </c>
      <c r="Q14" s="118"/>
      <c r="R14" s="138" cm="1">
        <f t="array" ref="R14">foursix(R12/R13,0)</f>
        <v>1178</v>
      </c>
      <c r="S14" s="118"/>
      <c r="U14" s="147">
        <v>94.1</v>
      </c>
      <c r="V14">
        <v>12</v>
      </c>
      <c r="W14">
        <v>369</v>
      </c>
      <c r="X14">
        <v>2</v>
      </c>
    </row>
    <row r="15" spans="1:24" ht="18" customHeight="1" x14ac:dyDescent="0.25">
      <c r="A15" s="21" t="s">
        <v>32</v>
      </c>
      <c r="B15" s="137">
        <v>2742</v>
      </c>
      <c r="C15" s="137"/>
      <c r="D15" s="137">
        <v>2912</v>
      </c>
      <c r="E15" s="137"/>
      <c r="F15" s="137">
        <v>2506</v>
      </c>
      <c r="G15" s="137"/>
      <c r="H15" s="137">
        <v>2269</v>
      </c>
      <c r="I15" s="137"/>
      <c r="J15" s="137">
        <v>2912</v>
      </c>
      <c r="K15" s="137"/>
      <c r="L15" s="137">
        <v>2012</v>
      </c>
      <c r="M15" s="137"/>
      <c r="N15" s="137">
        <v>2417</v>
      </c>
      <c r="O15" s="137"/>
      <c r="P15" s="137">
        <v>2412</v>
      </c>
      <c r="Q15" s="137"/>
      <c r="R15" s="137">
        <v>2288</v>
      </c>
      <c r="S15" s="137"/>
      <c r="U15" s="147"/>
      <c r="V15">
        <v>13</v>
      </c>
      <c r="W15">
        <v>367</v>
      </c>
      <c r="X15">
        <v>4</v>
      </c>
    </row>
    <row r="16" spans="1:24" ht="18" customHeight="1" x14ac:dyDescent="0.25">
      <c r="A16" s="21" t="s">
        <v>33</v>
      </c>
      <c r="B16" s="119" cm="1">
        <f t="array" ref="B16">foursix(B15/B14,2)</f>
        <v>1.92</v>
      </c>
      <c r="C16" s="119"/>
      <c r="D16" s="119" cm="1">
        <f t="array" ref="D16">foursix(D15/D14,2)</f>
        <v>1.9</v>
      </c>
      <c r="E16" s="119"/>
      <c r="F16" s="119" cm="1">
        <f t="array" ref="F16">foursix(F15/F14,2)</f>
        <v>1.93</v>
      </c>
      <c r="G16" s="119"/>
      <c r="H16" s="119" cm="1">
        <f t="array" ref="H16">foursix(H15/H14,2)</f>
        <v>1.92</v>
      </c>
      <c r="I16" s="119"/>
      <c r="J16" s="119" cm="1">
        <f t="array" ref="J16">foursix(J15/J14,2)</f>
        <v>1.92</v>
      </c>
      <c r="K16" s="119"/>
      <c r="L16" s="119" cm="1">
        <f t="array" ref="L16">foursix(L15/L14,2)</f>
        <v>1.91</v>
      </c>
      <c r="M16" s="119"/>
      <c r="N16" s="119" cm="1">
        <f t="array" ref="N16">foursix(N15/N14,2)</f>
        <v>1.94</v>
      </c>
      <c r="O16" s="119"/>
      <c r="P16" s="119" cm="1">
        <f t="array" ref="P16">foursix(P15/P14,2)</f>
        <v>1.93</v>
      </c>
      <c r="Q16" s="119"/>
      <c r="R16" s="119" cm="1">
        <f t="array" ref="R16">foursix(R15/R14,2)</f>
        <v>1.94</v>
      </c>
      <c r="S16" s="119"/>
      <c r="U16" s="147">
        <v>93</v>
      </c>
      <c r="V16">
        <v>14</v>
      </c>
      <c r="W16">
        <v>382</v>
      </c>
      <c r="X16">
        <v>5</v>
      </c>
    </row>
    <row r="17" spans="1:39" ht="18" customHeight="1" x14ac:dyDescent="0.25">
      <c r="A17" s="21" t="s">
        <v>34</v>
      </c>
      <c r="B17" s="139">
        <v>1</v>
      </c>
      <c r="C17" s="140"/>
      <c r="D17" s="139">
        <v>3</v>
      </c>
      <c r="E17" s="140"/>
      <c r="F17" s="139">
        <v>5</v>
      </c>
      <c r="G17" s="140"/>
      <c r="H17" s="139">
        <v>6</v>
      </c>
      <c r="I17" s="140"/>
      <c r="J17" s="139">
        <v>4</v>
      </c>
      <c r="K17" s="140"/>
      <c r="L17" s="139">
        <v>10</v>
      </c>
      <c r="M17" s="140"/>
      <c r="N17" s="139">
        <v>12</v>
      </c>
      <c r="O17" s="140"/>
      <c r="P17" s="139">
        <v>13</v>
      </c>
      <c r="Q17" s="140"/>
      <c r="R17" s="139">
        <v>11</v>
      </c>
      <c r="S17" s="140"/>
      <c r="U17" s="147"/>
      <c r="V17">
        <v>15</v>
      </c>
      <c r="W17">
        <v>374</v>
      </c>
      <c r="X17">
        <v>5</v>
      </c>
    </row>
    <row r="18" spans="1:39" ht="18" customHeight="1" x14ac:dyDescent="0.25">
      <c r="A18" s="21" t="s">
        <v>35</v>
      </c>
      <c r="B18" s="128" cm="1">
        <f t="array" ref="B18">INDEX($W:$W,B17+2)</f>
        <v>380</v>
      </c>
      <c r="C18" s="129"/>
      <c r="D18" s="128" cm="1">
        <f t="array" ref="D18">INDEX($W:$W,D17+2)</f>
        <v>371</v>
      </c>
      <c r="E18" s="129"/>
      <c r="F18" s="128" cm="1">
        <f t="array" ref="F18">INDEX($W:$W,F17+2)</f>
        <v>372</v>
      </c>
      <c r="G18" s="129"/>
      <c r="H18" s="128" cm="1">
        <f t="array" ref="H18">INDEX($W:$W,H17+2)</f>
        <v>368</v>
      </c>
      <c r="I18" s="129"/>
      <c r="J18" s="128" cm="1">
        <f t="array" ref="J18">INDEX($W:$W,J17+2)</f>
        <v>364</v>
      </c>
      <c r="K18" s="129"/>
      <c r="L18" s="128" cm="1">
        <f t="array" ref="L18">INDEX($W:$W,L17+2)</f>
        <v>377</v>
      </c>
      <c r="M18" s="129"/>
      <c r="N18" s="128" cm="1">
        <f t="array" ref="N18">INDEX($W:$W,N17+2)</f>
        <v>369</v>
      </c>
      <c r="O18" s="129"/>
      <c r="P18" s="128" cm="1">
        <f t="array" ref="P18">INDEX($W:$W,P17+2)</f>
        <v>367</v>
      </c>
      <c r="Q18" s="129"/>
      <c r="R18" s="128" cm="1">
        <f t="array" ref="R18">INDEX($W:$W,R17+2)</f>
        <v>368</v>
      </c>
      <c r="S18" s="129"/>
      <c r="U18" s="147">
        <v>94.6</v>
      </c>
    </row>
    <row r="19" spans="1:39" ht="18" customHeight="1" x14ac:dyDescent="0.25">
      <c r="A19" s="21" t="s">
        <v>36</v>
      </c>
      <c r="B19" s="141" cm="1">
        <f t="array" ref="B19">B18+B15-INDEX($X:$X,B17+2)</f>
        <v>3118</v>
      </c>
      <c r="C19" s="142"/>
      <c r="D19" s="141" cm="1">
        <f t="array" ref="D19">D18+D15-INDEX($X:$X,D17+2)</f>
        <v>3279</v>
      </c>
      <c r="E19" s="142"/>
      <c r="F19" s="141" cm="1">
        <f t="array" ref="F19">F18+F15-INDEX($X:$X,F17+2)</f>
        <v>2870</v>
      </c>
      <c r="G19" s="142"/>
      <c r="H19" s="141" cm="1">
        <f t="array" ref="H19">H18+H15-INDEX($X:$X,H17+2)</f>
        <v>2627</v>
      </c>
      <c r="I19" s="142"/>
      <c r="J19" s="141" cm="1">
        <f t="array" ref="J19">J18+J15-INDEX($X:$X,J17+2)</f>
        <v>3269</v>
      </c>
      <c r="K19" s="142"/>
      <c r="L19" s="141" cm="1">
        <f t="array" ref="L19">L18+L15-INDEX($X:$X,L17+2)</f>
        <v>2377</v>
      </c>
      <c r="M19" s="142"/>
      <c r="N19" s="141" cm="1">
        <f t="array" ref="N19">N18+N15-INDEX($X:$X,N17+2)</f>
        <v>2784</v>
      </c>
      <c r="O19" s="142"/>
      <c r="P19" s="141" cm="1">
        <f t="array" ref="P19">P18+P15-INDEX($X:$X,P17+2)</f>
        <v>2775</v>
      </c>
      <c r="Q19" s="142"/>
      <c r="R19" s="141" cm="1">
        <f t="array" ref="R19">R18+R15-INDEX($X:$X,R17+2)</f>
        <v>2644</v>
      </c>
      <c r="S19" s="142"/>
      <c r="U19" s="147"/>
    </row>
    <row r="20" spans="1:39" ht="18" customHeight="1" x14ac:dyDescent="0.25">
      <c r="A20" s="21" t="s">
        <v>37</v>
      </c>
      <c r="B20" s="130">
        <v>2816</v>
      </c>
      <c r="C20" s="131"/>
      <c r="D20" s="130">
        <v>2945</v>
      </c>
      <c r="E20" s="131"/>
      <c r="F20" s="130">
        <v>2630</v>
      </c>
      <c r="G20" s="131"/>
      <c r="H20" s="130">
        <v>2413</v>
      </c>
      <c r="I20" s="131"/>
      <c r="J20" s="130">
        <v>3001</v>
      </c>
      <c r="K20" s="131"/>
      <c r="L20" s="130">
        <v>2189</v>
      </c>
      <c r="M20" s="131"/>
      <c r="N20" s="130">
        <v>2544</v>
      </c>
      <c r="O20" s="131"/>
      <c r="P20" s="130">
        <v>2546</v>
      </c>
      <c r="Q20" s="131"/>
      <c r="R20" s="130">
        <v>2386</v>
      </c>
      <c r="S20" s="131"/>
      <c r="U20" s="147">
        <v>94.6</v>
      </c>
    </row>
    <row r="21" spans="1:39" s="17" customFormat="1" ht="18" customHeight="1" x14ac:dyDescent="0.25">
      <c r="A21" s="24" t="s">
        <v>38</v>
      </c>
      <c r="B21" s="143" cm="1">
        <f t="array" ref="B21">foursix((B19-B20)/(B20-B18)*100,1)</f>
        <v>12.4</v>
      </c>
      <c r="C21" s="144"/>
      <c r="D21" s="143" cm="1">
        <f t="array" ref="D21">foursix((D19-D20)/(D20-D18)*100,1)</f>
        <v>13</v>
      </c>
      <c r="E21" s="144"/>
      <c r="F21" s="143" cm="1">
        <f t="array" ref="F21">foursix((F19-F20)/(F20-F18)*100,1)</f>
        <v>10.6</v>
      </c>
      <c r="G21" s="144"/>
      <c r="H21" s="143" cm="1">
        <f t="array" ref="H21">foursix((H19-H20)/(H20-H18)*100,1)</f>
        <v>10.5</v>
      </c>
      <c r="I21" s="144"/>
      <c r="J21" s="143" cm="1">
        <f t="array" ref="J21">foursix((J19-J20)/(J20-J18)*100,1)</f>
        <v>10.199999999999999</v>
      </c>
      <c r="K21" s="144"/>
      <c r="L21" s="143" cm="1">
        <f t="array" ref="L21">foursix((L19-L20)/(L20-L18)*100,1)</f>
        <v>10.4</v>
      </c>
      <c r="M21" s="144"/>
      <c r="N21" s="143" cm="1">
        <f t="array" ref="N21">foursix((N19-N20)/(N20-N18)*100,1)</f>
        <v>11</v>
      </c>
      <c r="O21" s="144"/>
      <c r="P21" s="143" cm="1">
        <f t="array" ref="P21">foursix((P19-P20)/(P20-P18)*100,1)</f>
        <v>10.5</v>
      </c>
      <c r="Q21" s="144"/>
      <c r="R21" s="143" cm="1">
        <f t="array" ref="R21">foursix((R19-R20)/(R20-R18)*100,1)</f>
        <v>12.8</v>
      </c>
      <c r="S21" s="144"/>
      <c r="U21" s="147"/>
    </row>
    <row r="22" spans="1:39" s="17" customFormat="1" ht="18" customHeight="1" x14ac:dyDescent="0.25">
      <c r="A22" s="24" t="s">
        <v>39</v>
      </c>
      <c r="B22" s="119" cm="1">
        <f t="array" ref="B22">foursix(B16/(1+0.01*B21),2)</f>
        <v>1.71</v>
      </c>
      <c r="C22" s="119"/>
      <c r="D22" s="119" cm="1">
        <f t="array" ref="D22">foursix(D16/(1+0.01*D21),2)</f>
        <v>1.68</v>
      </c>
      <c r="E22" s="119"/>
      <c r="F22" s="119" cm="1">
        <f t="array" ref="F22">foursix(F16/(1+0.01*F21),2)</f>
        <v>1.75</v>
      </c>
      <c r="G22" s="119"/>
      <c r="H22" s="119" cm="1">
        <f t="array" ref="H22">foursix(H16/(1+0.01*H21),2)</f>
        <v>1.74</v>
      </c>
      <c r="I22" s="119"/>
      <c r="J22" s="119" cm="1">
        <f t="array" ref="J22">foursix(J16/(1+0.01*J21),2)</f>
        <v>1.74</v>
      </c>
      <c r="K22" s="119"/>
      <c r="L22" s="119" cm="1">
        <f t="array" ref="L22">foursix(L16/(1+0.01*L21),2)</f>
        <v>1.73</v>
      </c>
      <c r="M22" s="119"/>
      <c r="N22" s="119" cm="1">
        <f t="array" ref="N22">foursix(N16/(1+0.01*N21),2)</f>
        <v>1.75</v>
      </c>
      <c r="O22" s="119"/>
      <c r="P22" s="119" cm="1">
        <f t="array" ref="P22">foursix(P16/(1+0.01*P21),2)</f>
        <v>1.75</v>
      </c>
      <c r="Q22" s="119"/>
      <c r="R22" s="119" cm="1">
        <f t="array" ref="R22">foursix(R16/(1+0.01*R21),2)</f>
        <v>1.72</v>
      </c>
      <c r="S22" s="119"/>
      <c r="U22" s="148">
        <v>92.4</v>
      </c>
      <c r="V22" s="25"/>
      <c r="W22" s="119"/>
      <c r="X22" s="119"/>
      <c r="Y22" s="119"/>
      <c r="Z22" s="119"/>
      <c r="AA22" s="119"/>
      <c r="AB22" s="119"/>
      <c r="AC22" s="119"/>
      <c r="AD22" s="119"/>
      <c r="AE22" s="119"/>
      <c r="AF22" s="119"/>
      <c r="AG22" s="119"/>
      <c r="AH22" s="119"/>
      <c r="AI22" s="119"/>
      <c r="AJ22" s="119"/>
      <c r="AK22" s="119"/>
      <c r="AL22" s="119"/>
    </row>
    <row r="23" spans="1:39" ht="18" customHeight="1" x14ac:dyDescent="0.25">
      <c r="A23" s="21" t="s">
        <v>40</v>
      </c>
      <c r="B23" s="145">
        <v>1.85</v>
      </c>
      <c r="C23" s="145"/>
      <c r="D23" s="145">
        <v>1.85</v>
      </c>
      <c r="E23" s="145"/>
      <c r="F23" s="145">
        <v>1.85</v>
      </c>
      <c r="G23" s="145"/>
      <c r="H23" s="145">
        <v>1.85</v>
      </c>
      <c r="I23" s="145"/>
      <c r="J23" s="145">
        <v>1.85</v>
      </c>
      <c r="K23" s="145"/>
      <c r="L23" s="145">
        <v>1.85</v>
      </c>
      <c r="M23" s="145"/>
      <c r="N23" s="145">
        <v>1.85</v>
      </c>
      <c r="O23" s="145"/>
      <c r="P23" s="145">
        <v>1.85</v>
      </c>
      <c r="Q23" s="145"/>
      <c r="R23" s="145">
        <v>1.85</v>
      </c>
      <c r="S23" s="145"/>
      <c r="U23" s="149"/>
    </row>
    <row r="24" spans="1:39" s="18" customFormat="1" ht="18" customHeight="1" x14ac:dyDescent="0.25">
      <c r="A24" s="26" t="s">
        <v>41</v>
      </c>
      <c r="B24" s="146" cm="1">
        <f t="array" ref="B24">foursix(B22/B23*100,1)</f>
        <v>92.4</v>
      </c>
      <c r="C24" s="146"/>
      <c r="D24" s="146" cm="1">
        <f t="array" ref="D24">foursix(D22/D23*100,1)</f>
        <v>90.8</v>
      </c>
      <c r="E24" s="146"/>
      <c r="F24" s="146" cm="1">
        <f t="array" ref="F24">foursix(F22/F23*100,1)</f>
        <v>94.6</v>
      </c>
      <c r="G24" s="146"/>
      <c r="H24" s="146" cm="1">
        <f t="array" ref="H24">foursix(H22/H23*100,1)</f>
        <v>94.1</v>
      </c>
      <c r="I24" s="146"/>
      <c r="J24" s="146" cm="1">
        <f t="array" ref="J24">foursix(J22/J23*100,1)</f>
        <v>94.1</v>
      </c>
      <c r="K24" s="146"/>
      <c r="L24" s="146" cm="1">
        <f t="array" ref="L24">foursix(L22/L23*100,1)</f>
        <v>93.5</v>
      </c>
      <c r="M24" s="146"/>
      <c r="N24" s="146" cm="1">
        <f t="array" ref="N24">foursix(N22/N23*100,1)</f>
        <v>94.6</v>
      </c>
      <c r="O24" s="146"/>
      <c r="P24" s="146" cm="1">
        <f t="array" ref="P24">foursix(P22/P23*100,1)</f>
        <v>94.6</v>
      </c>
      <c r="Q24" s="146"/>
      <c r="R24" s="146" cm="1">
        <f t="array" ref="R24">foursix(R22/R23*100,1)</f>
        <v>93</v>
      </c>
      <c r="S24" s="146"/>
    </row>
    <row r="25" spans="1:39" ht="18" customHeight="1" x14ac:dyDescent="0.25">
      <c r="A25" s="21" t="s">
        <v>42</v>
      </c>
      <c r="B25" s="85" t="s">
        <v>43</v>
      </c>
      <c r="C25" s="86"/>
      <c r="D25" s="86"/>
      <c r="E25" s="86"/>
      <c r="F25" s="86"/>
      <c r="G25" s="86"/>
      <c r="H25" s="86"/>
      <c r="I25" s="86"/>
      <c r="J25" s="86"/>
      <c r="K25" s="86"/>
      <c r="L25" s="86"/>
      <c r="M25" s="86"/>
      <c r="N25" s="86"/>
      <c r="O25" s="86"/>
      <c r="P25" s="86"/>
      <c r="Q25" s="86"/>
      <c r="R25" s="86"/>
      <c r="S25" s="87"/>
    </row>
    <row r="26" spans="1:39" ht="18" customHeight="1" x14ac:dyDescent="0.25">
      <c r="A26" s="21" t="s">
        <v>44</v>
      </c>
      <c r="B26" s="85" t="s">
        <v>45</v>
      </c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7"/>
    </row>
    <row r="27" spans="1:39" ht="18" customHeight="1" x14ac:dyDescent="0.25">
      <c r="A27" s="21" t="s">
        <v>46</v>
      </c>
      <c r="B27" s="85"/>
      <c r="C27" s="86"/>
      <c r="D27" s="86"/>
      <c r="E27" s="86"/>
      <c r="F27" s="86"/>
      <c r="G27" s="86"/>
      <c r="H27" s="86"/>
      <c r="I27" s="86"/>
      <c r="J27" s="86"/>
      <c r="K27" s="86"/>
      <c r="L27" s="86"/>
      <c r="M27" s="86"/>
      <c r="N27" s="86"/>
      <c r="O27" s="86"/>
      <c r="P27" s="86"/>
      <c r="Q27" s="86"/>
      <c r="R27" s="86"/>
      <c r="S27" s="87"/>
      <c r="W27" s="27"/>
    </row>
    <row r="28" spans="1:39" ht="19" customHeight="1" x14ac:dyDescent="0.25">
      <c r="A28" s="28" t="s">
        <v>47</v>
      </c>
      <c r="F28" s="20" t="s">
        <v>48</v>
      </c>
      <c r="K28" s="99" t="s">
        <v>49</v>
      </c>
      <c r="L28" s="99"/>
    </row>
    <row r="29" spans="1:39" ht="19" customHeight="1" x14ac:dyDescent="0.25"/>
    <row r="30" spans="1:39" ht="19" customHeight="1" x14ac:dyDescent="0.25">
      <c r="J30" t="s">
        <v>63</v>
      </c>
    </row>
    <row r="31" spans="1:39" ht="19" customHeight="1" x14ac:dyDescent="0.25">
      <c r="V31" s="119"/>
      <c r="W31" s="119"/>
      <c r="X31" s="119"/>
      <c r="Y31" s="119"/>
      <c r="Z31" s="119"/>
      <c r="AA31" s="119"/>
      <c r="AB31" s="119"/>
      <c r="AC31" s="119"/>
      <c r="AD31" s="119"/>
      <c r="AE31" s="119"/>
      <c r="AF31" s="119"/>
      <c r="AG31" s="119"/>
      <c r="AH31" s="119"/>
      <c r="AI31" s="119"/>
      <c r="AJ31" s="119"/>
      <c r="AK31" s="119"/>
      <c r="AL31" s="119"/>
      <c r="AM31" s="119"/>
    </row>
    <row r="32" spans="1:39" ht="19" customHeight="1" x14ac:dyDescent="0.25">
      <c r="A32" s="29" t="s">
        <v>25</v>
      </c>
      <c r="B32" s="91">
        <v>9000</v>
      </c>
      <c r="C32" s="91"/>
      <c r="D32" s="91">
        <v>9000</v>
      </c>
      <c r="E32" s="91"/>
      <c r="F32" s="91">
        <v>9000</v>
      </c>
      <c r="G32" s="91"/>
      <c r="H32" s="91">
        <v>9000</v>
      </c>
      <c r="I32" s="91"/>
      <c r="J32" s="91">
        <v>9000</v>
      </c>
      <c r="K32" s="91"/>
      <c r="L32" s="91">
        <v>9000</v>
      </c>
      <c r="M32" s="91"/>
      <c r="N32" s="91">
        <v>9000</v>
      </c>
      <c r="O32" s="91"/>
      <c r="P32" s="91">
        <v>9000</v>
      </c>
      <c r="Q32" s="91"/>
      <c r="R32" s="91">
        <v>9000</v>
      </c>
      <c r="S32" s="91"/>
    </row>
    <row r="33" spans="1:19" ht="19" customHeight="1" x14ac:dyDescent="0.25">
      <c r="A33" s="30" t="s">
        <v>52</v>
      </c>
      <c r="B33" s="111">
        <v>8646</v>
      </c>
      <c r="C33" s="112"/>
      <c r="D33" s="111">
        <v>8826</v>
      </c>
      <c r="E33" s="112"/>
      <c r="F33" s="111">
        <v>8876</v>
      </c>
      <c r="G33" s="112"/>
      <c r="H33" s="111">
        <v>8872</v>
      </c>
      <c r="I33" s="112"/>
      <c r="J33" s="111">
        <v>8890</v>
      </c>
      <c r="K33" s="112"/>
      <c r="L33" s="100">
        <v>8491</v>
      </c>
      <c r="M33" s="101"/>
      <c r="N33" s="100">
        <v>8454</v>
      </c>
      <c r="O33" s="101"/>
      <c r="P33" s="100">
        <v>8443</v>
      </c>
      <c r="Q33" s="101"/>
      <c r="R33" s="100">
        <v>8461</v>
      </c>
      <c r="S33" s="101"/>
    </row>
    <row r="34" spans="1:19" ht="19" customHeight="1" x14ac:dyDescent="0.25">
      <c r="A34" s="30" t="s">
        <v>53</v>
      </c>
      <c r="B34" s="89">
        <f t="shared" ref="B34:F34" si="6">B32-B33</f>
        <v>354</v>
      </c>
      <c r="C34" s="90"/>
      <c r="D34" s="89">
        <f t="shared" si="6"/>
        <v>174</v>
      </c>
      <c r="E34" s="90"/>
      <c r="F34" s="89">
        <f t="shared" si="6"/>
        <v>124</v>
      </c>
      <c r="G34" s="90"/>
      <c r="H34" s="89">
        <f t="shared" ref="H34:L34" si="7">H32-H33</f>
        <v>128</v>
      </c>
      <c r="I34" s="90"/>
      <c r="J34" s="89">
        <f t="shared" si="7"/>
        <v>110</v>
      </c>
      <c r="K34" s="90"/>
      <c r="L34" s="89">
        <f t="shared" si="7"/>
        <v>509</v>
      </c>
      <c r="M34" s="90"/>
      <c r="N34" s="89">
        <f t="shared" ref="N34:R34" si="8">N32-N33</f>
        <v>546</v>
      </c>
      <c r="O34" s="90"/>
      <c r="P34" s="89">
        <f t="shared" si="8"/>
        <v>557</v>
      </c>
      <c r="Q34" s="90"/>
      <c r="R34" s="89">
        <f t="shared" si="8"/>
        <v>539</v>
      </c>
      <c r="S34" s="90"/>
    </row>
    <row r="35" spans="1:19" ht="19" customHeight="1" x14ac:dyDescent="0.25">
      <c r="A35" s="21" t="s">
        <v>26</v>
      </c>
      <c r="B35" s="111">
        <v>6061</v>
      </c>
      <c r="C35" s="112"/>
      <c r="D35" s="111">
        <v>6328</v>
      </c>
      <c r="E35" s="112"/>
      <c r="F35" s="111">
        <v>6426</v>
      </c>
      <c r="G35" s="112"/>
      <c r="H35" s="111">
        <v>6373</v>
      </c>
      <c r="I35" s="112"/>
      <c r="J35" s="111">
        <v>5754</v>
      </c>
      <c r="K35" s="112"/>
      <c r="L35" s="100">
        <v>6150</v>
      </c>
      <c r="M35" s="101"/>
      <c r="N35" s="100">
        <v>6062</v>
      </c>
      <c r="O35" s="101"/>
      <c r="P35" s="100">
        <v>5990</v>
      </c>
      <c r="Q35" s="101"/>
      <c r="R35" s="100">
        <v>5930</v>
      </c>
      <c r="S35" s="101"/>
    </row>
    <row r="36" spans="1:19" ht="19" customHeight="1" x14ac:dyDescent="0.25">
      <c r="A36" s="21" t="s">
        <v>64</v>
      </c>
      <c r="B36" s="89">
        <f t="shared" ref="B36:F36" si="9">B34+B35</f>
        <v>6415</v>
      </c>
      <c r="C36" s="90"/>
      <c r="D36" s="89">
        <f t="shared" si="9"/>
        <v>6502</v>
      </c>
      <c r="E36" s="90"/>
      <c r="F36" s="89">
        <f t="shared" si="9"/>
        <v>6550</v>
      </c>
      <c r="G36" s="90"/>
      <c r="H36" s="89">
        <f t="shared" ref="H36:L36" si="10">H34+H35</f>
        <v>6501</v>
      </c>
      <c r="I36" s="90"/>
      <c r="J36" s="89">
        <f t="shared" si="10"/>
        <v>5864</v>
      </c>
      <c r="K36" s="90"/>
      <c r="L36" s="89">
        <f t="shared" si="10"/>
        <v>6659</v>
      </c>
      <c r="M36" s="90"/>
      <c r="N36" s="89">
        <f t="shared" ref="N36:R36" si="11">N34+N35</f>
        <v>6608</v>
      </c>
      <c r="O36" s="90"/>
      <c r="P36" s="89">
        <f t="shared" si="11"/>
        <v>6547</v>
      </c>
      <c r="Q36" s="90"/>
      <c r="R36" s="89">
        <f t="shared" si="11"/>
        <v>6469</v>
      </c>
      <c r="S36" s="90"/>
    </row>
    <row r="37" spans="1:19" ht="19" customHeight="1" x14ac:dyDescent="0.25">
      <c r="A37" s="31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</row>
    <row r="38" spans="1:19" ht="19" customHeight="1" x14ac:dyDescent="0.25">
      <c r="A38" s="22" t="s">
        <v>56</v>
      </c>
    </row>
    <row r="39" spans="1:19" ht="19" customHeight="1" x14ac:dyDescent="0.25">
      <c r="A39" s="33" t="s">
        <v>51</v>
      </c>
      <c r="B39" s="134">
        <v>8752</v>
      </c>
      <c r="C39" s="135"/>
      <c r="D39" s="134">
        <v>8752</v>
      </c>
      <c r="E39" s="135"/>
      <c r="F39" s="134">
        <v>8752</v>
      </c>
      <c r="G39" s="135"/>
      <c r="H39" s="134">
        <v>8752</v>
      </c>
      <c r="I39" s="135"/>
      <c r="J39" s="134">
        <v>8752</v>
      </c>
      <c r="K39" s="135"/>
      <c r="L39" s="134">
        <v>8752</v>
      </c>
      <c r="M39" s="135"/>
      <c r="N39" s="134">
        <v>8752</v>
      </c>
      <c r="O39" s="135"/>
      <c r="P39" s="134">
        <v>8752</v>
      </c>
      <c r="Q39" s="135"/>
      <c r="R39" s="134">
        <v>8752</v>
      </c>
      <c r="S39" s="135"/>
    </row>
    <row r="40" spans="1:19" ht="19" customHeight="1" x14ac:dyDescent="0.25">
      <c r="A40" s="33" t="s">
        <v>54</v>
      </c>
      <c r="B40" s="134">
        <v>8022</v>
      </c>
      <c r="C40" s="135"/>
      <c r="D40" s="134">
        <v>8022</v>
      </c>
      <c r="E40" s="135"/>
      <c r="F40" s="134">
        <v>8022</v>
      </c>
      <c r="G40" s="135"/>
      <c r="H40" s="134">
        <v>8022</v>
      </c>
      <c r="I40" s="135"/>
      <c r="J40" s="134">
        <v>8022</v>
      </c>
      <c r="K40" s="135"/>
      <c r="L40" s="134">
        <v>8022</v>
      </c>
      <c r="M40" s="135"/>
      <c r="N40" s="134">
        <v>8022</v>
      </c>
      <c r="O40" s="135"/>
      <c r="P40" s="134">
        <v>8022</v>
      </c>
      <c r="Q40" s="135"/>
      <c r="R40" s="134">
        <v>8022</v>
      </c>
      <c r="S40" s="135"/>
    </row>
    <row r="41" spans="1:19" x14ac:dyDescent="0.25">
      <c r="A41" s="33" t="s">
        <v>57</v>
      </c>
      <c r="B41" s="136">
        <v>710</v>
      </c>
      <c r="C41" s="136"/>
      <c r="D41" s="136">
        <v>710</v>
      </c>
      <c r="E41" s="136"/>
      <c r="F41" s="136">
        <v>710</v>
      </c>
      <c r="G41" s="136"/>
      <c r="H41" s="136">
        <v>710</v>
      </c>
      <c r="I41" s="136"/>
      <c r="J41" s="136">
        <v>710</v>
      </c>
      <c r="K41" s="136"/>
      <c r="L41" s="136">
        <v>710</v>
      </c>
      <c r="M41" s="136"/>
      <c r="N41" s="136">
        <v>710</v>
      </c>
      <c r="O41" s="136"/>
      <c r="P41" s="136">
        <v>710</v>
      </c>
      <c r="Q41" s="136"/>
      <c r="R41" s="136">
        <v>710</v>
      </c>
      <c r="S41" s="136"/>
    </row>
    <row r="42" spans="1:19" x14ac:dyDescent="0.25">
      <c r="A42" s="33" t="s">
        <v>58</v>
      </c>
      <c r="B42" s="103">
        <f t="shared" ref="B42:F42" si="12">B39-B40-B41</f>
        <v>20</v>
      </c>
      <c r="C42" s="104"/>
      <c r="D42" s="103">
        <f t="shared" si="12"/>
        <v>20</v>
      </c>
      <c r="E42" s="104"/>
      <c r="F42" s="103">
        <f t="shared" si="12"/>
        <v>20</v>
      </c>
      <c r="G42" s="104"/>
      <c r="H42" s="103">
        <f t="shared" ref="H42:L42" si="13">H39-H40-H41</f>
        <v>20</v>
      </c>
      <c r="I42" s="104"/>
      <c r="J42" s="103">
        <f t="shared" si="13"/>
        <v>20</v>
      </c>
      <c r="K42" s="104"/>
      <c r="L42" s="103">
        <f t="shared" si="13"/>
        <v>20</v>
      </c>
      <c r="M42" s="104"/>
      <c r="N42" s="103">
        <f t="shared" ref="N42:R42" si="14">N39-N40-N41</f>
        <v>20</v>
      </c>
      <c r="O42" s="104"/>
      <c r="P42" s="103">
        <f t="shared" si="14"/>
        <v>20</v>
      </c>
      <c r="Q42" s="104"/>
      <c r="R42" s="103">
        <f t="shared" si="14"/>
        <v>20</v>
      </c>
      <c r="S42" s="104"/>
    </row>
    <row r="43" spans="1:19" ht="26.25" customHeight="1" x14ac:dyDescent="0.25">
      <c r="A43" s="23" t="s">
        <v>27</v>
      </c>
      <c r="B43" s="103">
        <f t="shared" ref="B43:F43" si="15">B41+B42</f>
        <v>730</v>
      </c>
      <c r="C43" s="104"/>
      <c r="D43" s="103">
        <f t="shared" si="15"/>
        <v>730</v>
      </c>
      <c r="E43" s="104"/>
      <c r="F43" s="103">
        <f t="shared" si="15"/>
        <v>730</v>
      </c>
      <c r="G43" s="104"/>
      <c r="H43" s="103">
        <f t="shared" ref="H43:L43" si="16">H41+H42</f>
        <v>730</v>
      </c>
      <c r="I43" s="104"/>
      <c r="J43" s="103">
        <f t="shared" si="16"/>
        <v>730</v>
      </c>
      <c r="K43" s="104"/>
      <c r="L43" s="103">
        <f t="shared" si="16"/>
        <v>730</v>
      </c>
      <c r="M43" s="104"/>
      <c r="N43" s="103">
        <f t="shared" ref="N43:R43" si="17">N41+N42</f>
        <v>730</v>
      </c>
      <c r="O43" s="104"/>
      <c r="P43" s="103">
        <f t="shared" si="17"/>
        <v>730</v>
      </c>
      <c r="Q43" s="104"/>
      <c r="R43" s="103">
        <f t="shared" si="17"/>
        <v>730</v>
      </c>
      <c r="S43" s="104"/>
    </row>
  </sheetData>
  <mergeCells count="301">
    <mergeCell ref="U6:U7"/>
    <mergeCell ref="U8:U9"/>
    <mergeCell ref="U10:U11"/>
    <mergeCell ref="U12:U13"/>
    <mergeCell ref="U14:U15"/>
    <mergeCell ref="U16:U17"/>
    <mergeCell ref="U18:U19"/>
    <mergeCell ref="U20:U21"/>
    <mergeCell ref="U22:U23"/>
    <mergeCell ref="B43:C43"/>
    <mergeCell ref="D43:E43"/>
    <mergeCell ref="F43:G43"/>
    <mergeCell ref="H43:I43"/>
    <mergeCell ref="J43:K43"/>
    <mergeCell ref="L43:M43"/>
    <mergeCell ref="N43:O43"/>
    <mergeCell ref="P43:Q43"/>
    <mergeCell ref="R43:S43"/>
    <mergeCell ref="B42:C42"/>
    <mergeCell ref="D42:E42"/>
    <mergeCell ref="F42:G42"/>
    <mergeCell ref="H42:I42"/>
    <mergeCell ref="J42:K42"/>
    <mergeCell ref="L42:M42"/>
    <mergeCell ref="N42:O42"/>
    <mergeCell ref="P42:Q42"/>
    <mergeCell ref="R42:S42"/>
    <mergeCell ref="B41:C41"/>
    <mergeCell ref="D41:E41"/>
    <mergeCell ref="F41:G41"/>
    <mergeCell ref="H41:I41"/>
    <mergeCell ref="J41:K41"/>
    <mergeCell ref="L41:M41"/>
    <mergeCell ref="N41:O41"/>
    <mergeCell ref="P41:Q41"/>
    <mergeCell ref="R41:S41"/>
    <mergeCell ref="B40:C40"/>
    <mergeCell ref="D40:E40"/>
    <mergeCell ref="F40:G40"/>
    <mergeCell ref="H40:I40"/>
    <mergeCell ref="J40:K40"/>
    <mergeCell ref="L40:M40"/>
    <mergeCell ref="N40:O40"/>
    <mergeCell ref="P40:Q40"/>
    <mergeCell ref="R40:S40"/>
    <mergeCell ref="B39:C39"/>
    <mergeCell ref="D39:E39"/>
    <mergeCell ref="F39:G39"/>
    <mergeCell ref="H39:I39"/>
    <mergeCell ref="J39:K39"/>
    <mergeCell ref="L39:M39"/>
    <mergeCell ref="N39:O39"/>
    <mergeCell ref="P39:Q39"/>
    <mergeCell ref="R39:S39"/>
    <mergeCell ref="B36:C36"/>
    <mergeCell ref="D36:E36"/>
    <mergeCell ref="F36:G36"/>
    <mergeCell ref="H36:I36"/>
    <mergeCell ref="J36:K36"/>
    <mergeCell ref="L36:M36"/>
    <mergeCell ref="N36:O36"/>
    <mergeCell ref="P36:Q36"/>
    <mergeCell ref="R36:S36"/>
    <mergeCell ref="B35:C35"/>
    <mergeCell ref="D35:E35"/>
    <mergeCell ref="F35:G35"/>
    <mergeCell ref="H35:I35"/>
    <mergeCell ref="J35:K35"/>
    <mergeCell ref="L35:M35"/>
    <mergeCell ref="N35:O35"/>
    <mergeCell ref="P35:Q35"/>
    <mergeCell ref="R35:S35"/>
    <mergeCell ref="B34:C34"/>
    <mergeCell ref="D34:E34"/>
    <mergeCell ref="F34:G34"/>
    <mergeCell ref="H34:I34"/>
    <mergeCell ref="J34:K34"/>
    <mergeCell ref="L34:M34"/>
    <mergeCell ref="N34:O34"/>
    <mergeCell ref="P34:Q34"/>
    <mergeCell ref="R34:S34"/>
    <mergeCell ref="B33:C33"/>
    <mergeCell ref="D33:E33"/>
    <mergeCell ref="F33:G33"/>
    <mergeCell ref="H33:I33"/>
    <mergeCell ref="J33:K33"/>
    <mergeCell ref="L33:M33"/>
    <mergeCell ref="N33:O33"/>
    <mergeCell ref="P33:Q33"/>
    <mergeCell ref="R33:S33"/>
    <mergeCell ref="AF31:AG31"/>
    <mergeCell ref="AH31:AI31"/>
    <mergeCell ref="AJ31:AK31"/>
    <mergeCell ref="AL31:AM31"/>
    <mergeCell ref="B32:C32"/>
    <mergeCell ref="D32:E32"/>
    <mergeCell ref="F32:G32"/>
    <mergeCell ref="H32:I32"/>
    <mergeCell ref="J32:K32"/>
    <mergeCell ref="L32:M32"/>
    <mergeCell ref="N32:O32"/>
    <mergeCell ref="P32:Q32"/>
    <mergeCell ref="R32:S32"/>
    <mergeCell ref="B25:S25"/>
    <mergeCell ref="B26:S26"/>
    <mergeCell ref="B27:S27"/>
    <mergeCell ref="K28:L28"/>
    <mergeCell ref="V31:W31"/>
    <mergeCell ref="X31:Y31"/>
    <mergeCell ref="Z31:AA31"/>
    <mergeCell ref="AB31:AC31"/>
    <mergeCell ref="AD31:AE31"/>
    <mergeCell ref="B24:C24"/>
    <mergeCell ref="D24:E24"/>
    <mergeCell ref="F24:G24"/>
    <mergeCell ref="H24:I24"/>
    <mergeCell ref="J24:K24"/>
    <mergeCell ref="L24:M24"/>
    <mergeCell ref="N24:O24"/>
    <mergeCell ref="P24:Q24"/>
    <mergeCell ref="R24:S24"/>
    <mergeCell ref="W22:X22"/>
    <mergeCell ref="Y22:Z22"/>
    <mergeCell ref="AA22:AB22"/>
    <mergeCell ref="AC22:AD22"/>
    <mergeCell ref="AE22:AF22"/>
    <mergeCell ref="AG22:AH22"/>
    <mergeCell ref="AI22:AJ22"/>
    <mergeCell ref="AK22:AL22"/>
    <mergeCell ref="B23:C23"/>
    <mergeCell ref="D23:E23"/>
    <mergeCell ref="F23:G23"/>
    <mergeCell ref="H23:I23"/>
    <mergeCell ref="J23:K23"/>
    <mergeCell ref="L23:M23"/>
    <mergeCell ref="N23:O23"/>
    <mergeCell ref="P23:Q23"/>
    <mergeCell ref="R23:S23"/>
    <mergeCell ref="B22:C22"/>
    <mergeCell ref="D22:E22"/>
    <mergeCell ref="F22:G22"/>
    <mergeCell ref="H22:I22"/>
    <mergeCell ref="J22:K22"/>
    <mergeCell ref="L22:M22"/>
    <mergeCell ref="N22:O22"/>
    <mergeCell ref="P22:Q22"/>
    <mergeCell ref="R22:S22"/>
    <mergeCell ref="B21:C21"/>
    <mergeCell ref="D21:E21"/>
    <mergeCell ref="F21:G21"/>
    <mergeCell ref="H21:I21"/>
    <mergeCell ref="J21:K21"/>
    <mergeCell ref="L21:M21"/>
    <mergeCell ref="N21:O21"/>
    <mergeCell ref="P21:Q21"/>
    <mergeCell ref="R21:S21"/>
    <mergeCell ref="B20:C20"/>
    <mergeCell ref="D20:E20"/>
    <mergeCell ref="F20:G20"/>
    <mergeCell ref="H20:I20"/>
    <mergeCell ref="J20:K20"/>
    <mergeCell ref="L20:M20"/>
    <mergeCell ref="N20:O20"/>
    <mergeCell ref="P20:Q20"/>
    <mergeCell ref="R20:S20"/>
    <mergeCell ref="B19:C19"/>
    <mergeCell ref="D19:E19"/>
    <mergeCell ref="F19:G19"/>
    <mergeCell ref="H19:I19"/>
    <mergeCell ref="J19:K19"/>
    <mergeCell ref="L19:M19"/>
    <mergeCell ref="N19:O19"/>
    <mergeCell ref="P19:Q19"/>
    <mergeCell ref="R19:S19"/>
    <mergeCell ref="B18:C18"/>
    <mergeCell ref="D18:E18"/>
    <mergeCell ref="F18:G18"/>
    <mergeCell ref="H18:I18"/>
    <mergeCell ref="J18:K18"/>
    <mergeCell ref="L18:M18"/>
    <mergeCell ref="N18:O18"/>
    <mergeCell ref="P18:Q18"/>
    <mergeCell ref="R18:S18"/>
    <mergeCell ref="B17:C17"/>
    <mergeCell ref="D17:E17"/>
    <mergeCell ref="F17:G17"/>
    <mergeCell ref="H17:I17"/>
    <mergeCell ref="J17:K17"/>
    <mergeCell ref="L17:M17"/>
    <mergeCell ref="N17:O17"/>
    <mergeCell ref="P17:Q17"/>
    <mergeCell ref="R17:S17"/>
    <mergeCell ref="B16:C16"/>
    <mergeCell ref="D16:E16"/>
    <mergeCell ref="F16:G16"/>
    <mergeCell ref="H16:I16"/>
    <mergeCell ref="J16:K16"/>
    <mergeCell ref="L16:M16"/>
    <mergeCell ref="N16:O16"/>
    <mergeCell ref="P16:Q16"/>
    <mergeCell ref="R16:S16"/>
    <mergeCell ref="B15:C15"/>
    <mergeCell ref="D15:E15"/>
    <mergeCell ref="F15:G15"/>
    <mergeCell ref="H15:I15"/>
    <mergeCell ref="J15:K15"/>
    <mergeCell ref="L15:M15"/>
    <mergeCell ref="N15:O15"/>
    <mergeCell ref="P15:Q15"/>
    <mergeCell ref="R15:S15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B13:C13"/>
    <mergeCell ref="D13:E13"/>
    <mergeCell ref="F13:G13"/>
    <mergeCell ref="H13:I13"/>
    <mergeCell ref="J13:K13"/>
    <mergeCell ref="L13:M13"/>
    <mergeCell ref="N13:O13"/>
    <mergeCell ref="P13:Q13"/>
    <mergeCell ref="R13:S13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B7:C7"/>
    <mergeCell ref="D7:E7"/>
    <mergeCell ref="F7:G7"/>
    <mergeCell ref="H7:I7"/>
    <mergeCell ref="J7:K7"/>
    <mergeCell ref="L7:M7"/>
    <mergeCell ref="N7:O7"/>
    <mergeCell ref="P7:Q7"/>
    <mergeCell ref="R7:S7"/>
    <mergeCell ref="B5:S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A1:M1"/>
    <mergeCell ref="N1:Q1"/>
    <mergeCell ref="R1:U1"/>
    <mergeCell ref="A2:U2"/>
    <mergeCell ref="A3:C3"/>
    <mergeCell ref="D3:G3"/>
    <mergeCell ref="J3:L3"/>
    <mergeCell ref="M3:S3"/>
    <mergeCell ref="B4:S4"/>
  </mergeCells>
  <phoneticPr fontId="31" type="noConversion"/>
  <printOptions horizontalCentered="1"/>
  <pageMargins left="0.55118110236220497" right="0.55118110236220497" top="0.39370078740157499" bottom="0.196850393700787" header="0.511811023622047" footer="0.511811023622047"/>
  <pageSetup paperSize="9" orientation="landscape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M43"/>
  <sheetViews>
    <sheetView topLeftCell="A3" workbookViewId="0">
      <selection activeCell="B20" sqref="B20:C20"/>
    </sheetView>
  </sheetViews>
  <sheetFormatPr defaultColWidth="9" defaultRowHeight="15" x14ac:dyDescent="0.25"/>
  <cols>
    <col min="1" max="1" width="24.58203125" style="3" customWidth="1"/>
    <col min="2" max="19" width="5.58203125" style="3" customWidth="1"/>
    <col min="20" max="21" width="9" style="3"/>
    <col min="22" max="22" width="10.4140625" style="3" customWidth="1"/>
    <col min="23" max="16384" width="9" style="3"/>
  </cols>
  <sheetData>
    <row r="1" spans="1:24" ht="17.5" x14ac:dyDescent="0.25">
      <c r="A1" s="39" t="s">
        <v>59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40" t="s">
        <v>1</v>
      </c>
      <c r="O1" s="40"/>
      <c r="P1" s="40"/>
      <c r="Q1" s="40"/>
      <c r="R1" s="40"/>
      <c r="S1" s="40"/>
      <c r="T1" s="40"/>
      <c r="U1" s="40"/>
    </row>
    <row r="2" spans="1:24" ht="23" x14ac:dyDescent="0.25">
      <c r="A2" s="41" t="s">
        <v>2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" t="s">
        <v>65</v>
      </c>
      <c r="W2" s="14">
        <v>1.72</v>
      </c>
    </row>
    <row r="3" spans="1:24" ht="19" customHeight="1" x14ac:dyDescent="0.25">
      <c r="A3" s="42" t="s">
        <v>60</v>
      </c>
      <c r="B3" s="42"/>
      <c r="C3" s="42"/>
      <c r="D3" s="42"/>
      <c r="E3" s="42"/>
      <c r="F3" s="42"/>
      <c r="G3" s="42"/>
      <c r="H3" s="5" t="s">
        <v>4</v>
      </c>
      <c r="J3" s="43" t="s">
        <v>5</v>
      </c>
      <c r="K3" s="43"/>
      <c r="L3" s="43"/>
      <c r="M3" s="44" t="s">
        <v>61</v>
      </c>
      <c r="N3" s="44"/>
      <c r="O3" s="44"/>
      <c r="P3" s="44"/>
      <c r="Q3" s="44"/>
      <c r="R3" s="44"/>
      <c r="S3" s="44"/>
      <c r="V3" s="15">
        <v>1</v>
      </c>
      <c r="W3" s="15">
        <v>380</v>
      </c>
      <c r="X3" s="7">
        <v>4</v>
      </c>
    </row>
    <row r="4" spans="1:24" ht="19" customHeight="1" x14ac:dyDescent="0.25">
      <c r="A4" s="9" t="s">
        <v>7</v>
      </c>
      <c r="B4" s="53" t="s">
        <v>66</v>
      </c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7"/>
      <c r="V4" s="15">
        <v>2</v>
      </c>
      <c r="W4" s="15">
        <v>375</v>
      </c>
      <c r="X4" s="7">
        <v>3</v>
      </c>
    </row>
    <row r="5" spans="1:24" ht="19" customHeight="1" x14ac:dyDescent="0.25">
      <c r="A5" s="9" t="s">
        <v>9</v>
      </c>
      <c r="B5" s="48"/>
      <c r="C5" s="49"/>
      <c r="D5" s="49"/>
      <c r="E5" s="49"/>
      <c r="F5" s="49"/>
      <c r="G5" s="49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7"/>
      <c r="V5" s="15">
        <v>3</v>
      </c>
      <c r="W5" s="15">
        <v>371</v>
      </c>
      <c r="X5" s="7">
        <v>5</v>
      </c>
    </row>
    <row r="6" spans="1:24" ht="18" customHeight="1" x14ac:dyDescent="0.25">
      <c r="A6" s="16" t="s">
        <v>11</v>
      </c>
      <c r="B6" s="50" t="s">
        <v>67</v>
      </c>
      <c r="C6" s="51"/>
      <c r="D6" s="51"/>
      <c r="E6" s="51"/>
      <c r="F6" s="51"/>
      <c r="G6" s="52"/>
      <c r="H6" s="51" t="s">
        <v>68</v>
      </c>
      <c r="I6" s="51"/>
      <c r="J6" s="51"/>
      <c r="K6" s="51"/>
      <c r="L6" s="51"/>
      <c r="M6" s="52"/>
      <c r="N6" s="53" t="s">
        <v>69</v>
      </c>
      <c r="O6" s="46"/>
      <c r="P6" s="46"/>
      <c r="Q6" s="46"/>
      <c r="R6" s="46"/>
      <c r="S6" s="47"/>
      <c r="U6" s="78"/>
      <c r="V6" s="15">
        <v>4</v>
      </c>
      <c r="W6" s="15">
        <v>364</v>
      </c>
      <c r="X6" s="7">
        <v>5</v>
      </c>
    </row>
    <row r="7" spans="1:24" ht="18" customHeight="1" x14ac:dyDescent="0.25">
      <c r="A7" s="9" t="s">
        <v>70</v>
      </c>
      <c r="B7" s="54" t="s">
        <v>71</v>
      </c>
      <c r="C7" s="55"/>
      <c r="D7" s="55"/>
      <c r="E7" s="55"/>
      <c r="F7" s="55"/>
      <c r="G7" s="56"/>
      <c r="H7" s="54" t="s">
        <v>71</v>
      </c>
      <c r="I7" s="55"/>
      <c r="J7" s="55"/>
      <c r="K7" s="55"/>
      <c r="L7" s="55"/>
      <c r="M7" s="56"/>
      <c r="N7" s="54" t="s">
        <v>71</v>
      </c>
      <c r="O7" s="55"/>
      <c r="P7" s="55"/>
      <c r="Q7" s="55"/>
      <c r="R7" s="55"/>
      <c r="S7" s="56"/>
      <c r="U7" s="78"/>
      <c r="V7" s="15">
        <v>5</v>
      </c>
      <c r="W7" s="15">
        <v>372</v>
      </c>
      <c r="X7" s="7">
        <v>2</v>
      </c>
    </row>
    <row r="8" spans="1:24" ht="18" customHeight="1" x14ac:dyDescent="0.25">
      <c r="A8" s="9" t="s">
        <v>24</v>
      </c>
      <c r="B8" s="57">
        <v>1</v>
      </c>
      <c r="C8" s="57"/>
      <c r="D8" s="58">
        <v>2</v>
      </c>
      <c r="E8" s="59"/>
      <c r="F8" s="58">
        <v>3</v>
      </c>
      <c r="G8" s="59"/>
      <c r="H8" s="60">
        <v>4</v>
      </c>
      <c r="I8" s="61"/>
      <c r="J8" s="60">
        <v>5</v>
      </c>
      <c r="K8" s="61"/>
      <c r="L8" s="62">
        <v>6</v>
      </c>
      <c r="M8" s="63"/>
      <c r="N8" s="62">
        <v>7</v>
      </c>
      <c r="O8" s="63"/>
      <c r="P8" s="53">
        <v>8</v>
      </c>
      <c r="Q8" s="47"/>
      <c r="R8" s="53">
        <v>9</v>
      </c>
      <c r="S8" s="47"/>
      <c r="U8" s="78"/>
      <c r="V8" s="15">
        <v>6</v>
      </c>
      <c r="W8" s="15">
        <v>368</v>
      </c>
      <c r="X8" s="7">
        <v>5</v>
      </c>
    </row>
    <row r="9" spans="1:24" ht="18" customHeight="1" x14ac:dyDescent="0.25">
      <c r="A9" s="9" t="s">
        <v>25</v>
      </c>
      <c r="B9" s="64">
        <v>8250</v>
      </c>
      <c r="C9" s="65"/>
      <c r="D9" s="64">
        <v>8247</v>
      </c>
      <c r="E9" s="65"/>
      <c r="F9" s="64">
        <v>8227</v>
      </c>
      <c r="G9" s="65"/>
      <c r="H9" s="64">
        <v>8210</v>
      </c>
      <c r="I9" s="65"/>
      <c r="J9" s="64">
        <v>8193</v>
      </c>
      <c r="K9" s="65"/>
      <c r="L9" s="64">
        <v>8173</v>
      </c>
      <c r="M9" s="65"/>
      <c r="N9" s="64">
        <v>8165</v>
      </c>
      <c r="O9" s="65"/>
      <c r="P9" s="64">
        <v>8154</v>
      </c>
      <c r="Q9" s="65"/>
      <c r="R9" s="64">
        <v>8140</v>
      </c>
      <c r="S9" s="65"/>
      <c r="U9" s="78"/>
      <c r="V9" s="15">
        <v>7</v>
      </c>
      <c r="W9" s="15">
        <v>388</v>
      </c>
      <c r="X9" s="7">
        <v>1</v>
      </c>
    </row>
    <row r="10" spans="1:24" ht="18" customHeight="1" x14ac:dyDescent="0.25">
      <c r="A10" s="9" t="s">
        <v>26</v>
      </c>
      <c r="B10" s="64">
        <v>5916</v>
      </c>
      <c r="C10" s="65"/>
      <c r="D10" s="64">
        <v>5926</v>
      </c>
      <c r="E10" s="65"/>
      <c r="F10" s="64">
        <v>5603</v>
      </c>
      <c r="G10" s="65"/>
      <c r="H10" s="64">
        <v>5689</v>
      </c>
      <c r="I10" s="65"/>
      <c r="J10" s="64">
        <v>5811</v>
      </c>
      <c r="K10" s="65"/>
      <c r="L10" s="64">
        <v>5829</v>
      </c>
      <c r="M10" s="65"/>
      <c r="N10" s="64">
        <v>5592</v>
      </c>
      <c r="O10" s="65"/>
      <c r="P10" s="64">
        <v>5824</v>
      </c>
      <c r="Q10" s="65"/>
      <c r="R10" s="64">
        <v>5765</v>
      </c>
      <c r="S10" s="65"/>
      <c r="U10" s="78"/>
      <c r="V10" s="15">
        <v>8</v>
      </c>
      <c r="W10" s="15">
        <v>359</v>
      </c>
      <c r="X10" s="7">
        <v>4</v>
      </c>
    </row>
    <row r="11" spans="1:24" ht="26.25" customHeight="1" x14ac:dyDescent="0.25">
      <c r="A11" s="10" t="s">
        <v>27</v>
      </c>
      <c r="B11" s="66">
        <v>730</v>
      </c>
      <c r="C11" s="66"/>
      <c r="D11" s="66">
        <v>730</v>
      </c>
      <c r="E11" s="66"/>
      <c r="F11" s="66">
        <v>730</v>
      </c>
      <c r="G11" s="66"/>
      <c r="H11" s="66">
        <v>730</v>
      </c>
      <c r="I11" s="66"/>
      <c r="J11" s="66">
        <v>730</v>
      </c>
      <c r="K11" s="66"/>
      <c r="L11" s="66">
        <v>730</v>
      </c>
      <c r="M11" s="66"/>
      <c r="N11" s="66">
        <v>730</v>
      </c>
      <c r="O11" s="66"/>
      <c r="P11" s="66">
        <v>730</v>
      </c>
      <c r="Q11" s="66"/>
      <c r="R11" s="66">
        <v>730</v>
      </c>
      <c r="S11" s="66"/>
      <c r="U11" s="78"/>
      <c r="V11" s="15">
        <v>9</v>
      </c>
      <c r="W11" s="15">
        <v>376</v>
      </c>
      <c r="X11" s="7">
        <v>0</v>
      </c>
    </row>
    <row r="12" spans="1:24" ht="18" customHeight="1" x14ac:dyDescent="0.25">
      <c r="A12" s="9" t="s">
        <v>28</v>
      </c>
      <c r="B12" s="66">
        <f>B9-B10-B11</f>
        <v>1604</v>
      </c>
      <c r="C12" s="66"/>
      <c r="D12" s="66">
        <f>D9-D10-D11</f>
        <v>1591</v>
      </c>
      <c r="E12" s="66"/>
      <c r="F12" s="66">
        <f>F9-F10-F11</f>
        <v>1894</v>
      </c>
      <c r="G12" s="66"/>
      <c r="H12" s="66">
        <f>H9-H10-H11</f>
        <v>1791</v>
      </c>
      <c r="I12" s="66"/>
      <c r="J12" s="66">
        <f>J9-J10-J11</f>
        <v>1652</v>
      </c>
      <c r="K12" s="66"/>
      <c r="L12" s="66">
        <f>L9-L10-L11</f>
        <v>1614</v>
      </c>
      <c r="M12" s="66"/>
      <c r="N12" s="66">
        <f>N9-N10-N11</f>
        <v>1843</v>
      </c>
      <c r="O12" s="66"/>
      <c r="P12" s="66">
        <f>P9-P10-P11</f>
        <v>1600</v>
      </c>
      <c r="Q12" s="66"/>
      <c r="R12" s="66">
        <f>R9-R10-R11</f>
        <v>1645</v>
      </c>
      <c r="S12" s="66"/>
      <c r="U12" s="78"/>
      <c r="V12" s="15">
        <v>10</v>
      </c>
      <c r="W12" s="15">
        <v>377</v>
      </c>
      <c r="X12" s="7">
        <v>3</v>
      </c>
    </row>
    <row r="13" spans="1:24" ht="18" customHeight="1" x14ac:dyDescent="0.25">
      <c r="A13" s="9" t="s">
        <v>29</v>
      </c>
      <c r="B13" s="67">
        <v>1.41</v>
      </c>
      <c r="C13" s="67"/>
      <c r="D13" s="67">
        <v>1.41</v>
      </c>
      <c r="E13" s="67"/>
      <c r="F13" s="67">
        <v>1.41</v>
      </c>
      <c r="G13" s="67"/>
      <c r="H13" s="67">
        <v>1.41</v>
      </c>
      <c r="I13" s="67"/>
      <c r="J13" s="67">
        <v>1.41</v>
      </c>
      <c r="K13" s="67"/>
      <c r="L13" s="67">
        <v>1.41</v>
      </c>
      <c r="M13" s="67"/>
      <c r="N13" s="67">
        <v>1.41</v>
      </c>
      <c r="O13" s="67"/>
      <c r="P13" s="67">
        <v>1.41</v>
      </c>
      <c r="Q13" s="67"/>
      <c r="R13" s="67">
        <v>1.41</v>
      </c>
      <c r="S13" s="67"/>
      <c r="U13" s="78"/>
      <c r="V13" s="15">
        <v>11</v>
      </c>
      <c r="W13" s="15">
        <v>368</v>
      </c>
      <c r="X13" s="7">
        <v>2</v>
      </c>
    </row>
    <row r="14" spans="1:24" ht="18" customHeight="1" x14ac:dyDescent="0.25">
      <c r="A14" s="9" t="s">
        <v>31</v>
      </c>
      <c r="B14" s="68" cm="1">
        <f t="array" ref="B14">foursix(B12/B13,0)</f>
        <v>1138</v>
      </c>
      <c r="C14" s="66"/>
      <c r="D14" s="68" cm="1">
        <f t="array" ref="D14">foursix(D12/D13,0)</f>
        <v>1128</v>
      </c>
      <c r="E14" s="66"/>
      <c r="F14" s="68" cm="1">
        <f t="array" ref="F14">foursix(F12/F13,0)</f>
        <v>1343</v>
      </c>
      <c r="G14" s="66"/>
      <c r="H14" s="68" cm="1">
        <f t="array" ref="H14">foursix(H12/H13,0)</f>
        <v>1270</v>
      </c>
      <c r="I14" s="66"/>
      <c r="J14" s="68" cm="1">
        <f t="array" ref="J14">foursix(J12/J13,0)</f>
        <v>1172</v>
      </c>
      <c r="K14" s="66"/>
      <c r="L14" s="68" cm="1">
        <f t="array" ref="L14">foursix(L12/L13,0)</f>
        <v>1145</v>
      </c>
      <c r="M14" s="66"/>
      <c r="N14" s="68" cm="1">
        <f t="array" ref="N14">foursix(N12/N13,0)</f>
        <v>1307</v>
      </c>
      <c r="O14" s="66"/>
      <c r="P14" s="68" cm="1">
        <f t="array" ref="P14">foursix(P12/P13,0)</f>
        <v>1135</v>
      </c>
      <c r="Q14" s="66"/>
      <c r="R14" s="68" cm="1">
        <f t="array" ref="R14">foursix(R12/R13,0)</f>
        <v>1167</v>
      </c>
      <c r="S14" s="66"/>
      <c r="U14" s="78"/>
      <c r="V14" s="15">
        <v>12</v>
      </c>
      <c r="W14" s="15">
        <v>369</v>
      </c>
      <c r="X14" s="7">
        <v>1</v>
      </c>
    </row>
    <row r="15" spans="1:24" ht="18" customHeight="1" x14ac:dyDescent="0.25">
      <c r="A15" s="9" t="s">
        <v>32</v>
      </c>
      <c r="B15" s="69">
        <v>2036</v>
      </c>
      <c r="C15" s="69"/>
      <c r="D15" s="69">
        <v>2033</v>
      </c>
      <c r="E15" s="69"/>
      <c r="F15" s="69">
        <v>2438</v>
      </c>
      <c r="G15" s="69"/>
      <c r="H15" s="69">
        <v>2321</v>
      </c>
      <c r="I15" s="69"/>
      <c r="J15" s="69">
        <v>2174</v>
      </c>
      <c r="K15" s="69"/>
      <c r="L15" s="69">
        <v>2100</v>
      </c>
      <c r="M15" s="69"/>
      <c r="N15" s="69">
        <v>2434</v>
      </c>
      <c r="O15" s="69"/>
      <c r="P15" s="69">
        <v>2115</v>
      </c>
      <c r="Q15" s="69"/>
      <c r="R15" s="69">
        <v>2128</v>
      </c>
      <c r="S15" s="69"/>
      <c r="U15" s="78"/>
      <c r="V15" s="15">
        <v>13</v>
      </c>
      <c r="W15" s="15">
        <v>367</v>
      </c>
      <c r="X15" s="7">
        <v>3</v>
      </c>
    </row>
    <row r="16" spans="1:24" ht="18" customHeight="1" x14ac:dyDescent="0.25">
      <c r="A16" s="9" t="s">
        <v>33</v>
      </c>
      <c r="B16" s="70" cm="1">
        <f t="array" ref="B16">foursix(B15/B14,2)</f>
        <v>1.79</v>
      </c>
      <c r="C16" s="70"/>
      <c r="D16" s="70" cm="1">
        <f t="array" ref="D16">foursix(D15/D14,2)</f>
        <v>1.8</v>
      </c>
      <c r="E16" s="70"/>
      <c r="F16" s="70" cm="1">
        <f t="array" ref="F16">foursix(F15/F14,2)</f>
        <v>1.82</v>
      </c>
      <c r="G16" s="70"/>
      <c r="H16" s="70" cm="1">
        <f t="array" ref="H16">foursix(H15/H14,2)</f>
        <v>1.83</v>
      </c>
      <c r="I16" s="70"/>
      <c r="J16" s="70" cm="1">
        <f t="array" ref="J16">foursix(J15/J14,2)</f>
        <v>1.85</v>
      </c>
      <c r="K16" s="70"/>
      <c r="L16" s="70" cm="1">
        <f t="array" ref="L16">foursix(L15/L14,2)</f>
        <v>1.83</v>
      </c>
      <c r="M16" s="70"/>
      <c r="N16" s="70" cm="1">
        <f t="array" ref="N16">foursix(N15/N14,2)</f>
        <v>1.86</v>
      </c>
      <c r="O16" s="70"/>
      <c r="P16" s="70" cm="1">
        <f t="array" ref="P16">foursix(P15/P14,2)</f>
        <v>1.86</v>
      </c>
      <c r="Q16" s="70"/>
      <c r="R16" s="70" cm="1">
        <f t="array" ref="R16">foursix(R15/R14,2)</f>
        <v>1.82</v>
      </c>
      <c r="S16" s="70"/>
      <c r="U16" s="78"/>
      <c r="V16" s="15">
        <v>14</v>
      </c>
      <c r="W16" s="15">
        <v>382</v>
      </c>
      <c r="X16" s="7">
        <v>3</v>
      </c>
    </row>
    <row r="17" spans="1:39" ht="18" customHeight="1" x14ac:dyDescent="0.25">
      <c r="A17" s="9" t="s">
        <v>34</v>
      </c>
      <c r="B17" s="64">
        <v>4</v>
      </c>
      <c r="C17" s="65"/>
      <c r="D17" s="64">
        <v>5</v>
      </c>
      <c r="E17" s="65"/>
      <c r="F17" s="64">
        <v>6</v>
      </c>
      <c r="G17" s="65"/>
      <c r="H17" s="64">
        <v>7</v>
      </c>
      <c r="I17" s="65"/>
      <c r="J17" s="64">
        <v>1</v>
      </c>
      <c r="K17" s="65"/>
      <c r="L17" s="64">
        <v>2</v>
      </c>
      <c r="M17" s="65"/>
      <c r="N17" s="64">
        <v>3</v>
      </c>
      <c r="O17" s="65"/>
      <c r="P17" s="64">
        <v>10</v>
      </c>
      <c r="Q17" s="65"/>
      <c r="R17" s="64">
        <v>7</v>
      </c>
      <c r="S17" s="65"/>
      <c r="U17" s="78"/>
      <c r="V17" s="15">
        <v>15</v>
      </c>
      <c r="W17" s="15">
        <v>374</v>
      </c>
      <c r="X17" s="7">
        <v>1</v>
      </c>
    </row>
    <row r="18" spans="1:39" ht="18" customHeight="1" x14ac:dyDescent="0.25">
      <c r="A18" s="9" t="s">
        <v>35</v>
      </c>
      <c r="B18" s="71" cm="1">
        <f t="array" ref="B18">INDEX($W:$W,B17+2)</f>
        <v>364</v>
      </c>
      <c r="C18" s="72"/>
      <c r="D18" s="71" cm="1">
        <f t="array" ref="D18">INDEX($W:$W,D17+2)</f>
        <v>372</v>
      </c>
      <c r="E18" s="72"/>
      <c r="F18" s="71" cm="1">
        <f t="array" ref="F18">INDEX($W:$W,F17+2)</f>
        <v>368</v>
      </c>
      <c r="G18" s="72"/>
      <c r="H18" s="71" cm="1">
        <f t="array" ref="H18">INDEX($W:$W,H17+2)</f>
        <v>388</v>
      </c>
      <c r="I18" s="72"/>
      <c r="J18" s="71" cm="1">
        <f t="array" ref="J18">INDEX($W:$W,J17+2)</f>
        <v>380</v>
      </c>
      <c r="K18" s="72"/>
      <c r="L18" s="71" cm="1">
        <f t="array" ref="L18">INDEX($W:$W,L17+2)</f>
        <v>375</v>
      </c>
      <c r="M18" s="72"/>
      <c r="N18" s="71" cm="1">
        <f t="array" ref="N18">INDEX($W:$W,N17+2)</f>
        <v>371</v>
      </c>
      <c r="O18" s="72"/>
      <c r="P18" s="71" cm="1">
        <f t="array" ref="P18">INDEX($W:$W,P17+2)</f>
        <v>377</v>
      </c>
      <c r="Q18" s="72"/>
      <c r="R18" s="71" cm="1">
        <f t="array" ref="R18">INDEX($W:$W,R17+2)</f>
        <v>388</v>
      </c>
      <c r="S18" s="72"/>
      <c r="U18" s="78"/>
    </row>
    <row r="19" spans="1:39" ht="18" customHeight="1" x14ac:dyDescent="0.25">
      <c r="A19" s="9" t="s">
        <v>36</v>
      </c>
      <c r="B19" s="71" cm="1">
        <f t="array" ref="B19">B18+B15-INDEX($X:$X,B17+2)</f>
        <v>2395</v>
      </c>
      <c r="C19" s="72"/>
      <c r="D19" s="71" cm="1">
        <f t="array" ref="D19">D18+D15-INDEX($X:$X,D17+2)</f>
        <v>2403</v>
      </c>
      <c r="E19" s="72"/>
      <c r="F19" s="71" cm="1">
        <f t="array" ref="F19">F18+F15-INDEX($X:$X,F17+2)</f>
        <v>2801</v>
      </c>
      <c r="G19" s="72"/>
      <c r="H19" s="71" cm="1">
        <f t="array" ref="H19">H18+H15-INDEX($X:$X,H17+2)</f>
        <v>2708</v>
      </c>
      <c r="I19" s="72"/>
      <c r="J19" s="71" cm="1">
        <f t="array" ref="J19">J18+J15-INDEX($X:$X,J17+2)</f>
        <v>2550</v>
      </c>
      <c r="K19" s="72"/>
      <c r="L19" s="71" cm="1">
        <f t="array" ref="L19">L18+L15-INDEX($X:$X,L17+2)</f>
        <v>2472</v>
      </c>
      <c r="M19" s="72"/>
      <c r="N19" s="71" cm="1">
        <f t="array" ref="N19">N18+N15-INDEX($X:$X,N17+2)</f>
        <v>2800</v>
      </c>
      <c r="O19" s="72"/>
      <c r="P19" s="71" cm="1">
        <f t="array" ref="P19">P18+P15-INDEX($X:$X,P17+2)</f>
        <v>2489</v>
      </c>
      <c r="Q19" s="72"/>
      <c r="R19" s="71" cm="1">
        <f t="array" ref="R19">R18+R15-INDEX($X:$X,R17+2)</f>
        <v>2515</v>
      </c>
      <c r="S19" s="72"/>
      <c r="U19" s="78"/>
    </row>
    <row r="20" spans="1:39" ht="18" customHeight="1" x14ac:dyDescent="0.25">
      <c r="A20" s="9" t="s">
        <v>37</v>
      </c>
      <c r="B20" s="64">
        <v>2150</v>
      </c>
      <c r="C20" s="65"/>
      <c r="D20" s="64">
        <v>2179</v>
      </c>
      <c r="E20" s="65"/>
      <c r="F20" s="64">
        <v>2488</v>
      </c>
      <c r="G20" s="65"/>
      <c r="H20" s="64">
        <v>2422</v>
      </c>
      <c r="I20" s="65"/>
      <c r="J20" s="64">
        <v>2289</v>
      </c>
      <c r="K20" s="65"/>
      <c r="L20" s="64">
        <v>2227</v>
      </c>
      <c r="M20" s="65"/>
      <c r="N20" s="64">
        <v>2511</v>
      </c>
      <c r="O20" s="65"/>
      <c r="P20" s="64">
        <v>2215</v>
      </c>
      <c r="Q20" s="65"/>
      <c r="R20" s="64">
        <v>2275</v>
      </c>
      <c r="S20" s="65"/>
    </row>
    <row r="21" spans="1:39" s="1" customFormat="1" ht="18" customHeight="1" x14ac:dyDescent="0.25">
      <c r="A21" s="11" t="s">
        <v>38</v>
      </c>
      <c r="B21" s="73" cm="1">
        <f t="array" ref="B21">foursix((B19-B20)/(B20-B18)*100,1)</f>
        <v>13.7</v>
      </c>
      <c r="C21" s="74"/>
      <c r="D21" s="73" cm="1">
        <f t="array" ref="D21">foursix((D19-D20)/(D20-D18)*100,1)</f>
        <v>12.4</v>
      </c>
      <c r="E21" s="74"/>
      <c r="F21" s="73" cm="1">
        <f t="array" ref="F21">foursix((F19-F20)/(F20-F18)*100,1)</f>
        <v>14.8</v>
      </c>
      <c r="G21" s="74"/>
      <c r="H21" s="73" cm="1">
        <f t="array" ref="H21">foursix((H19-H20)/(H20-H18)*100,1)</f>
        <v>14.1</v>
      </c>
      <c r="I21" s="74"/>
      <c r="J21" s="73" cm="1">
        <f t="array" ref="J21">foursix((J19-J20)/(J20-J18)*100,1)</f>
        <v>13.7</v>
      </c>
      <c r="K21" s="74"/>
      <c r="L21" s="73" cm="1">
        <f t="array" ref="L21">foursix((L19-L20)/(L20-L18)*100,1)</f>
        <v>13.2</v>
      </c>
      <c r="M21" s="74"/>
      <c r="N21" s="73" cm="1">
        <f t="array" ref="N21">foursix((N19-N20)/(N20-N18)*100,1)</f>
        <v>13.5</v>
      </c>
      <c r="O21" s="74"/>
      <c r="P21" s="73" cm="1">
        <f t="array" ref="P21">foursix((P19-P20)/(P20-P18)*100,1)</f>
        <v>14.9</v>
      </c>
      <c r="Q21" s="74"/>
      <c r="R21" s="73" cm="1">
        <f t="array" ref="R21">foursix((R19-R20)/(R20-R18)*100,1)</f>
        <v>12.7</v>
      </c>
      <c r="S21" s="74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</row>
    <row r="22" spans="1:39" s="1" customFormat="1" ht="18" customHeight="1" x14ac:dyDescent="0.25">
      <c r="A22" s="11" t="s">
        <v>39</v>
      </c>
      <c r="B22" s="70" cm="1">
        <f t="array" ref="B22">foursix(B16/(1+0.01*B21),2)</f>
        <v>1.57</v>
      </c>
      <c r="C22" s="70"/>
      <c r="D22" s="70" cm="1">
        <f t="array" ref="D22">foursix(D16/(1+0.01*D21),2)</f>
        <v>1.6</v>
      </c>
      <c r="E22" s="70"/>
      <c r="F22" s="70" cm="1">
        <f t="array" ref="F22">foursix(F16/(1+0.01*F21),2)</f>
        <v>1.59</v>
      </c>
      <c r="G22" s="70"/>
      <c r="H22" s="70" cm="1">
        <f t="array" ref="H22">foursix(H16/(1+0.01*H21),2)</f>
        <v>1.6</v>
      </c>
      <c r="I22" s="70"/>
      <c r="J22" s="70" cm="1">
        <f t="array" ref="J22">foursix(J16/(1+0.01*J21),2)</f>
        <v>1.63</v>
      </c>
      <c r="K22" s="70"/>
      <c r="L22" s="70" cm="1">
        <f t="array" ref="L22">foursix(L16/(1+0.01*L21),2)</f>
        <v>1.62</v>
      </c>
      <c r="M22" s="70"/>
      <c r="N22" s="70" cm="1">
        <f t="array" ref="N22">foursix(N16/(1+0.01*N21),2)</f>
        <v>1.64</v>
      </c>
      <c r="O22" s="70"/>
      <c r="P22" s="70" cm="1">
        <f t="array" ref="P22">foursix(P16/(1+0.01*P21),2)</f>
        <v>1.62</v>
      </c>
      <c r="Q22" s="70"/>
      <c r="R22" s="70" cm="1">
        <f t="array" ref="R22">foursix(R16/(1+0.01*R21),2)</f>
        <v>1.61</v>
      </c>
      <c r="S22" s="70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</row>
    <row r="23" spans="1:39" ht="18" customHeight="1" x14ac:dyDescent="0.25">
      <c r="A23" s="9" t="s">
        <v>40</v>
      </c>
      <c r="B23" s="75">
        <f>$W$2</f>
        <v>1.72</v>
      </c>
      <c r="C23" s="75"/>
      <c r="D23" s="75">
        <f>$W$2</f>
        <v>1.72</v>
      </c>
      <c r="E23" s="75"/>
      <c r="F23" s="75">
        <f>$W$2</f>
        <v>1.72</v>
      </c>
      <c r="G23" s="75"/>
      <c r="H23" s="75">
        <f>$W$2</f>
        <v>1.72</v>
      </c>
      <c r="I23" s="75"/>
      <c r="J23" s="75">
        <f>$W$2</f>
        <v>1.72</v>
      </c>
      <c r="K23" s="75"/>
      <c r="L23" s="75">
        <f>$W$2</f>
        <v>1.72</v>
      </c>
      <c r="M23" s="75"/>
      <c r="N23" s="75">
        <f>$W$2</f>
        <v>1.72</v>
      </c>
      <c r="O23" s="75"/>
      <c r="P23" s="75">
        <f>$W$2</f>
        <v>1.72</v>
      </c>
      <c r="Q23" s="75"/>
      <c r="R23" s="75">
        <f>$W$2</f>
        <v>1.72</v>
      </c>
      <c r="S23" s="75"/>
    </row>
    <row r="24" spans="1:39" s="2" customFormat="1" ht="18" customHeight="1" x14ac:dyDescent="0.25">
      <c r="A24" s="12" t="s">
        <v>41</v>
      </c>
      <c r="B24" s="76" cm="1">
        <f t="array" ref="B24">foursix(B22/B23*100,1)</f>
        <v>91.3</v>
      </c>
      <c r="C24" s="76"/>
      <c r="D24" s="76" cm="1">
        <f t="array" ref="D24">foursix(D22/D23*100,1)</f>
        <v>93</v>
      </c>
      <c r="E24" s="76"/>
      <c r="F24" s="76" cm="1">
        <f t="array" ref="F24">foursix(F22/F23*100,1)</f>
        <v>92.4</v>
      </c>
      <c r="G24" s="76"/>
      <c r="H24" s="76" cm="1">
        <f t="array" ref="H24">foursix(H22/H23*100,1)</f>
        <v>93</v>
      </c>
      <c r="I24" s="76"/>
      <c r="J24" s="76" cm="1">
        <f t="array" ref="J24">foursix(J22/J23*100,1)</f>
        <v>94.8</v>
      </c>
      <c r="K24" s="76"/>
      <c r="L24" s="76" cm="1">
        <f t="array" ref="L24">foursix(L22/L23*100,1)</f>
        <v>94.2</v>
      </c>
      <c r="M24" s="76"/>
      <c r="N24" s="76" cm="1">
        <f t="array" ref="N24">foursix(N22/N23*100,1)</f>
        <v>95.3</v>
      </c>
      <c r="O24" s="76"/>
      <c r="P24" s="76" cm="1">
        <f t="array" ref="P24">foursix(P22/P23*100,1)</f>
        <v>94.2</v>
      </c>
      <c r="Q24" s="76"/>
      <c r="R24" s="76" cm="1">
        <f t="array" ref="R24">foursix(R22/R23*100,1)</f>
        <v>93.6</v>
      </c>
      <c r="S24" s="76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</row>
    <row r="25" spans="1:39" ht="18" customHeight="1" x14ac:dyDescent="0.25">
      <c r="A25" s="9" t="s">
        <v>42</v>
      </c>
      <c r="B25" s="53" t="s">
        <v>43</v>
      </c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7"/>
    </row>
    <row r="26" spans="1:39" ht="18" customHeight="1" x14ac:dyDescent="0.25">
      <c r="A26" s="9" t="s">
        <v>44</v>
      </c>
      <c r="B26" s="53" t="s">
        <v>45</v>
      </c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7"/>
    </row>
    <row r="27" spans="1:39" ht="18" customHeight="1" x14ac:dyDescent="0.25">
      <c r="A27" s="9" t="s">
        <v>46</v>
      </c>
      <c r="B27" s="53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7"/>
    </row>
    <row r="28" spans="1:39" ht="19" customHeight="1" x14ac:dyDescent="0.25">
      <c r="A28" s="13" t="s">
        <v>47</v>
      </c>
      <c r="F28" s="5" t="s">
        <v>48</v>
      </c>
      <c r="K28" s="77" t="s">
        <v>49</v>
      </c>
      <c r="L28" s="77"/>
    </row>
    <row r="29" spans="1:39" ht="19" customHeight="1" x14ac:dyDescent="0.25"/>
    <row r="30" spans="1:39" ht="19" customHeight="1" x14ac:dyDescent="0.25"/>
    <row r="31" spans="1:39" ht="19" customHeight="1" x14ac:dyDescent="0.25"/>
    <row r="32" spans="1:39" ht="19" customHeight="1" x14ac:dyDescent="0.25"/>
    <row r="33" ht="19" customHeight="1" x14ac:dyDescent="0.25"/>
    <row r="34" ht="19" customHeight="1" x14ac:dyDescent="0.25"/>
    <row r="35" ht="19" customHeight="1" x14ac:dyDescent="0.25"/>
    <row r="36" ht="19" customHeight="1" x14ac:dyDescent="0.25"/>
    <row r="37" ht="19" customHeight="1" x14ac:dyDescent="0.25"/>
    <row r="38" ht="19" customHeight="1" x14ac:dyDescent="0.25"/>
    <row r="39" ht="19" customHeight="1" x14ac:dyDescent="0.25"/>
    <row r="40" ht="19" customHeight="1" x14ac:dyDescent="0.25"/>
    <row r="43" ht="26.25" customHeight="1" x14ac:dyDescent="0.25"/>
  </sheetData>
  <mergeCells count="180">
    <mergeCell ref="B25:S25"/>
    <mergeCell ref="B26:S26"/>
    <mergeCell ref="B27:S27"/>
    <mergeCell ref="K28:L28"/>
    <mergeCell ref="U6:U7"/>
    <mergeCell ref="U8:U9"/>
    <mergeCell ref="U10:U11"/>
    <mergeCell ref="U12:U13"/>
    <mergeCell ref="U14:U15"/>
    <mergeCell ref="U16:U17"/>
    <mergeCell ref="U18:U19"/>
    <mergeCell ref="B24:C24"/>
    <mergeCell ref="D24:E24"/>
    <mergeCell ref="F24:G24"/>
    <mergeCell ref="H24:I24"/>
    <mergeCell ref="J24:K24"/>
    <mergeCell ref="L24:M24"/>
    <mergeCell ref="N24:O24"/>
    <mergeCell ref="P24:Q24"/>
    <mergeCell ref="R24:S24"/>
    <mergeCell ref="B23:C23"/>
    <mergeCell ref="D23:E23"/>
    <mergeCell ref="F23:G23"/>
    <mergeCell ref="H23:I23"/>
    <mergeCell ref="J23:K23"/>
    <mergeCell ref="L23:M23"/>
    <mergeCell ref="N23:O23"/>
    <mergeCell ref="P23:Q23"/>
    <mergeCell ref="R23:S23"/>
    <mergeCell ref="B22:C22"/>
    <mergeCell ref="D22:E22"/>
    <mergeCell ref="F22:G22"/>
    <mergeCell ref="H22:I22"/>
    <mergeCell ref="J22:K22"/>
    <mergeCell ref="L22:M22"/>
    <mergeCell ref="N22:O22"/>
    <mergeCell ref="P22:Q22"/>
    <mergeCell ref="R22:S22"/>
    <mergeCell ref="B21:C21"/>
    <mergeCell ref="D21:E21"/>
    <mergeCell ref="F21:G21"/>
    <mergeCell ref="H21:I21"/>
    <mergeCell ref="J21:K21"/>
    <mergeCell ref="L21:M21"/>
    <mergeCell ref="N21:O21"/>
    <mergeCell ref="P21:Q21"/>
    <mergeCell ref="R21:S21"/>
    <mergeCell ref="B20:C20"/>
    <mergeCell ref="D20:E20"/>
    <mergeCell ref="F20:G20"/>
    <mergeCell ref="H20:I20"/>
    <mergeCell ref="J20:K20"/>
    <mergeCell ref="L20:M20"/>
    <mergeCell ref="N20:O20"/>
    <mergeCell ref="P20:Q20"/>
    <mergeCell ref="R20:S20"/>
    <mergeCell ref="B19:C19"/>
    <mergeCell ref="D19:E19"/>
    <mergeCell ref="F19:G19"/>
    <mergeCell ref="H19:I19"/>
    <mergeCell ref="J19:K19"/>
    <mergeCell ref="L19:M19"/>
    <mergeCell ref="N19:O19"/>
    <mergeCell ref="P19:Q19"/>
    <mergeCell ref="R19:S19"/>
    <mergeCell ref="B18:C18"/>
    <mergeCell ref="D18:E18"/>
    <mergeCell ref="F18:G18"/>
    <mergeCell ref="H18:I18"/>
    <mergeCell ref="J18:K18"/>
    <mergeCell ref="L18:M18"/>
    <mergeCell ref="N18:O18"/>
    <mergeCell ref="P18:Q18"/>
    <mergeCell ref="R18:S18"/>
    <mergeCell ref="B17:C17"/>
    <mergeCell ref="D17:E17"/>
    <mergeCell ref="F17:G17"/>
    <mergeCell ref="H17:I17"/>
    <mergeCell ref="J17:K17"/>
    <mergeCell ref="L17:M17"/>
    <mergeCell ref="N17:O17"/>
    <mergeCell ref="P17:Q17"/>
    <mergeCell ref="R17:S17"/>
    <mergeCell ref="B16:C16"/>
    <mergeCell ref="D16:E16"/>
    <mergeCell ref="F16:G16"/>
    <mergeCell ref="H16:I16"/>
    <mergeCell ref="J16:K16"/>
    <mergeCell ref="L16:M16"/>
    <mergeCell ref="N16:O16"/>
    <mergeCell ref="P16:Q16"/>
    <mergeCell ref="R16:S16"/>
    <mergeCell ref="B15:C15"/>
    <mergeCell ref="D15:E15"/>
    <mergeCell ref="F15:G15"/>
    <mergeCell ref="H15:I15"/>
    <mergeCell ref="J15:K15"/>
    <mergeCell ref="L15:M15"/>
    <mergeCell ref="N15:O15"/>
    <mergeCell ref="P15:Q15"/>
    <mergeCell ref="R15:S15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B13:C13"/>
    <mergeCell ref="D13:E13"/>
    <mergeCell ref="F13:G13"/>
    <mergeCell ref="H13:I13"/>
    <mergeCell ref="J13:K13"/>
    <mergeCell ref="L13:M13"/>
    <mergeCell ref="N13:O13"/>
    <mergeCell ref="P13:Q13"/>
    <mergeCell ref="R13:S13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B5:S5"/>
    <mergeCell ref="B6:G6"/>
    <mergeCell ref="H6:M6"/>
    <mergeCell ref="N6:S6"/>
    <mergeCell ref="B7:G7"/>
    <mergeCell ref="H7:M7"/>
    <mergeCell ref="N7:S7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A1:M1"/>
    <mergeCell ref="N1:Q1"/>
    <mergeCell ref="R1:U1"/>
    <mergeCell ref="A2:U2"/>
    <mergeCell ref="A3:C3"/>
    <mergeCell ref="D3:G3"/>
    <mergeCell ref="J3:L3"/>
    <mergeCell ref="M3:S3"/>
    <mergeCell ref="B4:S4"/>
  </mergeCells>
  <phoneticPr fontId="31" type="noConversion"/>
  <printOptions horizontalCentered="1"/>
  <pageMargins left="0.55118110236220497" right="0.55118110236220497" top="0.39370078740157499" bottom="0.196850393700787" header="0.511811023622047" footer="0.511811023622047"/>
  <pageSetup paperSize="9" orientation="landscape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M43"/>
  <sheetViews>
    <sheetView workbookViewId="0">
      <selection activeCell="O43" sqref="O43"/>
    </sheetView>
  </sheetViews>
  <sheetFormatPr defaultColWidth="9" defaultRowHeight="15" x14ac:dyDescent="0.25"/>
  <cols>
    <col min="1" max="1" width="24.58203125" style="3" customWidth="1"/>
    <col min="2" max="19" width="5.58203125" style="3" customWidth="1"/>
    <col min="20" max="21" width="9" style="3"/>
    <col min="22" max="22" width="10.4140625" style="3" customWidth="1"/>
    <col min="23" max="16384" width="9" style="3"/>
  </cols>
  <sheetData>
    <row r="1" spans="1:24" ht="17.5" x14ac:dyDescent="0.25">
      <c r="A1" s="39" t="s">
        <v>59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40" t="s">
        <v>1</v>
      </c>
      <c r="O1" s="40"/>
      <c r="P1" s="40"/>
      <c r="Q1" s="40"/>
      <c r="R1" s="40"/>
      <c r="S1" s="40"/>
      <c r="T1" s="40"/>
      <c r="U1" s="40"/>
    </row>
    <row r="2" spans="1:24" ht="23" x14ac:dyDescent="0.25">
      <c r="A2" s="41" t="s">
        <v>2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" t="s">
        <v>65</v>
      </c>
      <c r="W2" s="14">
        <v>1.75</v>
      </c>
    </row>
    <row r="3" spans="1:24" ht="19" customHeight="1" x14ac:dyDescent="0.25">
      <c r="A3" s="42" t="s">
        <v>60</v>
      </c>
      <c r="B3" s="42"/>
      <c r="C3" s="42"/>
      <c r="D3" s="42"/>
      <c r="E3" s="42"/>
      <c r="F3" s="42"/>
      <c r="G3" s="42"/>
      <c r="H3" s="5" t="s">
        <v>4</v>
      </c>
      <c r="J3" s="43" t="s">
        <v>5</v>
      </c>
      <c r="K3" s="43"/>
      <c r="L3" s="43"/>
      <c r="M3" s="44" t="s">
        <v>61</v>
      </c>
      <c r="N3" s="44"/>
      <c r="O3" s="44"/>
      <c r="P3" s="44"/>
      <c r="Q3" s="44"/>
      <c r="R3" s="44"/>
      <c r="S3" s="44"/>
      <c r="V3" s="15">
        <v>1</v>
      </c>
      <c r="W3" s="15">
        <v>380</v>
      </c>
      <c r="X3" s="7">
        <v>3</v>
      </c>
    </row>
    <row r="4" spans="1:24" ht="19" customHeight="1" x14ac:dyDescent="0.25">
      <c r="A4" s="9" t="s">
        <v>7</v>
      </c>
      <c r="B4" s="45" t="s">
        <v>72</v>
      </c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7"/>
      <c r="V4" s="15">
        <v>2</v>
      </c>
      <c r="W4" s="15">
        <v>375</v>
      </c>
      <c r="X4" s="7">
        <v>2</v>
      </c>
    </row>
    <row r="5" spans="1:24" ht="19" customHeight="1" x14ac:dyDescent="0.25">
      <c r="A5" s="9" t="s">
        <v>9</v>
      </c>
      <c r="B5" s="48"/>
      <c r="C5" s="49"/>
      <c r="D5" s="49"/>
      <c r="E5" s="49"/>
      <c r="F5" s="49"/>
      <c r="G5" s="49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7"/>
      <c r="V5" s="15">
        <v>3</v>
      </c>
      <c r="W5" s="15">
        <v>371</v>
      </c>
      <c r="X5" s="7">
        <v>0</v>
      </c>
    </row>
    <row r="6" spans="1:24" ht="18" customHeight="1" x14ac:dyDescent="0.25">
      <c r="A6" s="16" t="s">
        <v>11</v>
      </c>
      <c r="B6" s="50" t="s">
        <v>67</v>
      </c>
      <c r="C6" s="51"/>
      <c r="D6" s="51"/>
      <c r="E6" s="51"/>
      <c r="F6" s="51"/>
      <c r="G6" s="52"/>
      <c r="H6" s="51" t="s">
        <v>68</v>
      </c>
      <c r="I6" s="51"/>
      <c r="J6" s="51"/>
      <c r="K6" s="51"/>
      <c r="L6" s="51"/>
      <c r="M6" s="52"/>
      <c r="N6" s="53" t="s">
        <v>69</v>
      </c>
      <c r="O6" s="46"/>
      <c r="P6" s="46"/>
      <c r="Q6" s="46"/>
      <c r="R6" s="46"/>
      <c r="S6" s="47"/>
      <c r="U6" s="78"/>
      <c r="V6" s="15">
        <v>4</v>
      </c>
      <c r="W6" s="15">
        <v>364</v>
      </c>
      <c r="X6" s="7">
        <v>1</v>
      </c>
    </row>
    <row r="7" spans="1:24" ht="18" customHeight="1" x14ac:dyDescent="0.25">
      <c r="A7" s="9" t="s">
        <v>70</v>
      </c>
      <c r="B7" s="54" t="s">
        <v>73</v>
      </c>
      <c r="C7" s="55"/>
      <c r="D7" s="55"/>
      <c r="E7" s="55"/>
      <c r="F7" s="55"/>
      <c r="G7" s="56"/>
      <c r="H7" s="54" t="s">
        <v>73</v>
      </c>
      <c r="I7" s="55"/>
      <c r="J7" s="55"/>
      <c r="K7" s="55"/>
      <c r="L7" s="55"/>
      <c r="M7" s="56"/>
      <c r="N7" s="54" t="s">
        <v>73</v>
      </c>
      <c r="O7" s="55"/>
      <c r="P7" s="55"/>
      <c r="Q7" s="55"/>
      <c r="R7" s="55"/>
      <c r="S7" s="56"/>
      <c r="U7" s="78"/>
      <c r="V7" s="15">
        <v>5</v>
      </c>
      <c r="W7" s="15">
        <v>372</v>
      </c>
      <c r="X7" s="7">
        <v>4</v>
      </c>
    </row>
    <row r="8" spans="1:24" ht="18" customHeight="1" x14ac:dyDescent="0.25">
      <c r="A8" s="9" t="s">
        <v>24</v>
      </c>
      <c r="B8" s="57">
        <v>1</v>
      </c>
      <c r="C8" s="57"/>
      <c r="D8" s="58">
        <v>2</v>
      </c>
      <c r="E8" s="59"/>
      <c r="F8" s="58">
        <v>3</v>
      </c>
      <c r="G8" s="59"/>
      <c r="H8" s="60">
        <v>4</v>
      </c>
      <c r="I8" s="61"/>
      <c r="J8" s="60">
        <v>5</v>
      </c>
      <c r="K8" s="61"/>
      <c r="L8" s="62">
        <v>6</v>
      </c>
      <c r="M8" s="63"/>
      <c r="N8" s="62">
        <v>7</v>
      </c>
      <c r="O8" s="63"/>
      <c r="P8" s="53">
        <v>8</v>
      </c>
      <c r="Q8" s="47"/>
      <c r="R8" s="53">
        <v>9</v>
      </c>
      <c r="S8" s="47"/>
      <c r="U8" s="78"/>
      <c r="V8" s="15">
        <v>6</v>
      </c>
      <c r="W8" s="15">
        <v>368</v>
      </c>
      <c r="X8" s="7">
        <v>2</v>
      </c>
    </row>
    <row r="9" spans="1:24" ht="18" customHeight="1" x14ac:dyDescent="0.25">
      <c r="A9" s="9" t="s">
        <v>25</v>
      </c>
      <c r="B9" s="64">
        <v>8229</v>
      </c>
      <c r="C9" s="65"/>
      <c r="D9" s="64">
        <v>8213</v>
      </c>
      <c r="E9" s="65"/>
      <c r="F9" s="64">
        <v>8209</v>
      </c>
      <c r="G9" s="65"/>
      <c r="H9" s="64">
        <v>8207</v>
      </c>
      <c r="I9" s="65"/>
      <c r="J9" s="64">
        <v>8196</v>
      </c>
      <c r="K9" s="65"/>
      <c r="L9" s="64">
        <v>8196</v>
      </c>
      <c r="M9" s="65"/>
      <c r="N9" s="64">
        <v>8176</v>
      </c>
      <c r="O9" s="65"/>
      <c r="P9" s="64">
        <v>8175</v>
      </c>
      <c r="Q9" s="65"/>
      <c r="R9" s="64">
        <v>8175</v>
      </c>
      <c r="S9" s="65"/>
      <c r="U9" s="78"/>
      <c r="V9" s="15">
        <v>7</v>
      </c>
      <c r="W9" s="15">
        <v>388</v>
      </c>
      <c r="X9" s="7">
        <v>3</v>
      </c>
    </row>
    <row r="10" spans="1:24" ht="18" customHeight="1" x14ac:dyDescent="0.25">
      <c r="A10" s="9" t="s">
        <v>26</v>
      </c>
      <c r="B10" s="64">
        <v>5785</v>
      </c>
      <c r="C10" s="65"/>
      <c r="D10" s="64">
        <v>5580</v>
      </c>
      <c r="E10" s="65"/>
      <c r="F10" s="64">
        <v>5827</v>
      </c>
      <c r="G10" s="65"/>
      <c r="H10" s="64">
        <v>5612</v>
      </c>
      <c r="I10" s="65"/>
      <c r="J10" s="64">
        <v>5955</v>
      </c>
      <c r="K10" s="65"/>
      <c r="L10" s="64">
        <v>5955</v>
      </c>
      <c r="M10" s="65"/>
      <c r="N10" s="64">
        <v>5818</v>
      </c>
      <c r="O10" s="65"/>
      <c r="P10" s="64">
        <v>5949</v>
      </c>
      <c r="Q10" s="65"/>
      <c r="R10" s="64">
        <v>5812</v>
      </c>
      <c r="S10" s="65"/>
      <c r="U10" s="78"/>
      <c r="V10" s="15">
        <v>8</v>
      </c>
      <c r="W10" s="15">
        <v>359</v>
      </c>
      <c r="X10" s="7">
        <v>5</v>
      </c>
    </row>
    <row r="11" spans="1:24" ht="26.25" customHeight="1" x14ac:dyDescent="0.25">
      <c r="A11" s="10" t="s">
        <v>27</v>
      </c>
      <c r="B11" s="66">
        <v>730</v>
      </c>
      <c r="C11" s="66"/>
      <c r="D11" s="66">
        <v>730</v>
      </c>
      <c r="E11" s="66"/>
      <c r="F11" s="66">
        <v>730</v>
      </c>
      <c r="G11" s="66"/>
      <c r="H11" s="66">
        <v>730</v>
      </c>
      <c r="I11" s="66"/>
      <c r="J11" s="66">
        <v>730</v>
      </c>
      <c r="K11" s="66"/>
      <c r="L11" s="66">
        <v>730</v>
      </c>
      <c r="M11" s="66"/>
      <c r="N11" s="66">
        <v>730</v>
      </c>
      <c r="O11" s="66"/>
      <c r="P11" s="66">
        <v>730</v>
      </c>
      <c r="Q11" s="66"/>
      <c r="R11" s="66">
        <v>730</v>
      </c>
      <c r="S11" s="66"/>
      <c r="U11" s="78"/>
      <c r="V11" s="15">
        <v>9</v>
      </c>
      <c r="W11" s="15">
        <v>376</v>
      </c>
      <c r="X11" s="7">
        <v>0</v>
      </c>
    </row>
    <row r="12" spans="1:24" ht="18" customHeight="1" x14ac:dyDescent="0.25">
      <c r="A12" s="9" t="s">
        <v>28</v>
      </c>
      <c r="B12" s="66">
        <f t="shared" ref="B12:F12" si="0">B9-B10-B11</f>
        <v>1714</v>
      </c>
      <c r="C12" s="66"/>
      <c r="D12" s="66">
        <f t="shared" si="0"/>
        <v>1903</v>
      </c>
      <c r="E12" s="66"/>
      <c r="F12" s="66">
        <f t="shared" si="0"/>
        <v>1652</v>
      </c>
      <c r="G12" s="66"/>
      <c r="H12" s="66">
        <f t="shared" ref="H12:L12" si="1">H9-H10-H11</f>
        <v>1865</v>
      </c>
      <c r="I12" s="66"/>
      <c r="J12" s="66">
        <f t="shared" si="1"/>
        <v>1511</v>
      </c>
      <c r="K12" s="66"/>
      <c r="L12" s="66">
        <f t="shared" si="1"/>
        <v>1511</v>
      </c>
      <c r="M12" s="66"/>
      <c r="N12" s="66">
        <f t="shared" ref="N12:R12" si="2">N9-N10-N11</f>
        <v>1628</v>
      </c>
      <c r="O12" s="66"/>
      <c r="P12" s="66">
        <f t="shared" si="2"/>
        <v>1496</v>
      </c>
      <c r="Q12" s="66"/>
      <c r="R12" s="66">
        <f t="shared" si="2"/>
        <v>1633</v>
      </c>
      <c r="S12" s="66"/>
      <c r="U12" s="78"/>
      <c r="V12" s="15">
        <v>10</v>
      </c>
      <c r="W12" s="15">
        <v>377</v>
      </c>
      <c r="X12" s="7">
        <v>3</v>
      </c>
    </row>
    <row r="13" spans="1:24" ht="18" customHeight="1" x14ac:dyDescent="0.25">
      <c r="A13" s="9" t="s">
        <v>29</v>
      </c>
      <c r="B13" s="67">
        <v>1.41</v>
      </c>
      <c r="C13" s="67"/>
      <c r="D13" s="67">
        <v>1.41</v>
      </c>
      <c r="E13" s="67"/>
      <c r="F13" s="67">
        <v>1.41</v>
      </c>
      <c r="G13" s="67"/>
      <c r="H13" s="67">
        <v>1.41</v>
      </c>
      <c r="I13" s="67"/>
      <c r="J13" s="67">
        <v>1.41</v>
      </c>
      <c r="K13" s="67"/>
      <c r="L13" s="67">
        <v>1.41</v>
      </c>
      <c r="M13" s="67"/>
      <c r="N13" s="67">
        <v>1.41</v>
      </c>
      <c r="O13" s="67"/>
      <c r="P13" s="67">
        <v>1.41</v>
      </c>
      <c r="Q13" s="67"/>
      <c r="R13" s="67">
        <v>1.41</v>
      </c>
      <c r="S13" s="67"/>
      <c r="U13" s="78"/>
      <c r="V13" s="15">
        <v>11</v>
      </c>
      <c r="W13" s="15">
        <v>368</v>
      </c>
      <c r="X13" s="7">
        <v>5</v>
      </c>
    </row>
    <row r="14" spans="1:24" ht="18" customHeight="1" x14ac:dyDescent="0.25">
      <c r="A14" s="9" t="s">
        <v>31</v>
      </c>
      <c r="B14" s="68" cm="1">
        <f t="array" ref="B14">foursix(B12/B13,0)</f>
        <v>1216</v>
      </c>
      <c r="C14" s="66"/>
      <c r="D14" s="68" cm="1">
        <f t="array" ref="D14">foursix(D12/D13,0)</f>
        <v>1350</v>
      </c>
      <c r="E14" s="66"/>
      <c r="F14" s="68" cm="1">
        <f t="array" ref="F14">foursix(F12/F13,0)</f>
        <v>1172</v>
      </c>
      <c r="G14" s="66"/>
      <c r="H14" s="68" cm="1">
        <f t="array" ref="H14">foursix(H12/H13,0)</f>
        <v>1323</v>
      </c>
      <c r="I14" s="66"/>
      <c r="J14" s="68" cm="1">
        <f t="array" ref="J14">foursix(J12/J13,0)</f>
        <v>1072</v>
      </c>
      <c r="K14" s="66"/>
      <c r="L14" s="68" cm="1">
        <f t="array" ref="L14">foursix(L12/L13,0)</f>
        <v>1072</v>
      </c>
      <c r="M14" s="66"/>
      <c r="N14" s="68" cm="1">
        <f t="array" ref="N14">foursix(N12/N13,0)</f>
        <v>1155</v>
      </c>
      <c r="O14" s="66"/>
      <c r="P14" s="68" cm="1">
        <f t="array" ref="P14">foursix(P12/P13,0)</f>
        <v>1061</v>
      </c>
      <c r="Q14" s="66"/>
      <c r="R14" s="68" cm="1">
        <f t="array" ref="R14">foursix(R12/R13,0)</f>
        <v>1158</v>
      </c>
      <c r="S14" s="66"/>
      <c r="U14" s="78"/>
      <c r="V14" s="15">
        <v>12</v>
      </c>
      <c r="W14" s="15">
        <v>369</v>
      </c>
      <c r="X14" s="7">
        <v>1</v>
      </c>
    </row>
    <row r="15" spans="1:24" ht="18" customHeight="1" x14ac:dyDescent="0.25">
      <c r="A15" s="9" t="s">
        <v>32</v>
      </c>
      <c r="B15" s="69">
        <v>2218</v>
      </c>
      <c r="C15" s="69"/>
      <c r="D15" s="69">
        <v>2450</v>
      </c>
      <c r="E15" s="69"/>
      <c r="F15" s="69">
        <v>2129</v>
      </c>
      <c r="G15" s="69"/>
      <c r="H15" s="69">
        <v>2432</v>
      </c>
      <c r="I15" s="69"/>
      <c r="J15" s="69">
        <v>2011</v>
      </c>
      <c r="K15" s="69"/>
      <c r="L15" s="69">
        <v>2024</v>
      </c>
      <c r="M15" s="69"/>
      <c r="N15" s="69">
        <v>2146</v>
      </c>
      <c r="O15" s="69"/>
      <c r="P15" s="69">
        <v>2019</v>
      </c>
      <c r="Q15" s="69"/>
      <c r="R15" s="69">
        <v>2164</v>
      </c>
      <c r="S15" s="69"/>
      <c r="U15" s="78"/>
      <c r="V15" s="15">
        <v>13</v>
      </c>
      <c r="W15" s="15">
        <v>367</v>
      </c>
      <c r="X15" s="7">
        <v>0</v>
      </c>
    </row>
    <row r="16" spans="1:24" ht="18" customHeight="1" x14ac:dyDescent="0.25">
      <c r="A16" s="9" t="s">
        <v>33</v>
      </c>
      <c r="B16" s="70" cm="1">
        <f t="array" ref="B16">foursix(B15/B14,2)</f>
        <v>1.82</v>
      </c>
      <c r="C16" s="70"/>
      <c r="D16" s="70" cm="1">
        <f t="array" ref="D16">foursix(D15/D14,2)</f>
        <v>1.81</v>
      </c>
      <c r="E16" s="70"/>
      <c r="F16" s="70" cm="1">
        <f t="array" ref="F16">foursix(F15/F14,2)</f>
        <v>1.82</v>
      </c>
      <c r="G16" s="70"/>
      <c r="H16" s="70" cm="1">
        <f t="array" ref="H16">foursix(H15/H14,2)</f>
        <v>1.84</v>
      </c>
      <c r="I16" s="70"/>
      <c r="J16" s="70" cm="1">
        <f t="array" ref="J16">foursix(J15/J14,2)</f>
        <v>1.88</v>
      </c>
      <c r="K16" s="70"/>
      <c r="L16" s="70" cm="1">
        <f t="array" ref="L16">foursix(L15/L14,2)</f>
        <v>1.89</v>
      </c>
      <c r="M16" s="70"/>
      <c r="N16" s="70" cm="1">
        <f t="array" ref="N16">foursix(N15/N14,2)</f>
        <v>1.86</v>
      </c>
      <c r="O16" s="70"/>
      <c r="P16" s="70" cm="1">
        <f t="array" ref="P16">foursix(P15/P14,2)</f>
        <v>1.9</v>
      </c>
      <c r="Q16" s="70"/>
      <c r="R16" s="70" cm="1">
        <f t="array" ref="R16">foursix(R15/R14,2)</f>
        <v>1.87</v>
      </c>
      <c r="S16" s="70"/>
      <c r="U16" s="78"/>
      <c r="V16" s="15">
        <v>14</v>
      </c>
      <c r="W16" s="15">
        <v>382</v>
      </c>
      <c r="X16" s="7">
        <v>0</v>
      </c>
    </row>
    <row r="17" spans="1:39" ht="18" customHeight="1" x14ac:dyDescent="0.25">
      <c r="A17" s="9" t="s">
        <v>34</v>
      </c>
      <c r="B17" s="64">
        <v>5</v>
      </c>
      <c r="C17" s="65"/>
      <c r="D17" s="64">
        <v>3</v>
      </c>
      <c r="E17" s="65"/>
      <c r="F17" s="64">
        <v>2</v>
      </c>
      <c r="G17" s="65"/>
      <c r="H17" s="64">
        <v>1</v>
      </c>
      <c r="I17" s="65"/>
      <c r="J17" s="64">
        <v>7</v>
      </c>
      <c r="K17" s="65"/>
      <c r="L17" s="64">
        <v>4</v>
      </c>
      <c r="M17" s="65"/>
      <c r="N17" s="64">
        <v>8</v>
      </c>
      <c r="O17" s="65"/>
      <c r="P17" s="64">
        <v>9</v>
      </c>
      <c r="Q17" s="65"/>
      <c r="R17" s="64">
        <v>12</v>
      </c>
      <c r="S17" s="65"/>
      <c r="U17" s="78"/>
      <c r="V17" s="15">
        <v>15</v>
      </c>
      <c r="W17" s="15">
        <v>374</v>
      </c>
      <c r="X17" s="7">
        <v>0</v>
      </c>
    </row>
    <row r="18" spans="1:39" ht="18" customHeight="1" x14ac:dyDescent="0.25">
      <c r="A18" s="9" t="s">
        <v>35</v>
      </c>
      <c r="B18" s="71" cm="1">
        <f t="array" ref="B18">INDEX($W:$W,B17+2)</f>
        <v>372</v>
      </c>
      <c r="C18" s="72"/>
      <c r="D18" s="71" cm="1">
        <f t="array" ref="D18">INDEX($W:$W,D17+2)</f>
        <v>371</v>
      </c>
      <c r="E18" s="72"/>
      <c r="F18" s="71" cm="1">
        <f t="array" ref="F18">INDEX($W:$W,F17+2)</f>
        <v>375</v>
      </c>
      <c r="G18" s="72"/>
      <c r="H18" s="71" cm="1">
        <f t="array" ref="H18">INDEX($W:$W,H17+2)</f>
        <v>380</v>
      </c>
      <c r="I18" s="72"/>
      <c r="J18" s="71" cm="1">
        <f t="array" ref="J18">INDEX($W:$W,J17+2)</f>
        <v>388</v>
      </c>
      <c r="K18" s="72"/>
      <c r="L18" s="71" cm="1">
        <f t="array" ref="L18">INDEX($W:$W,L17+2)</f>
        <v>364</v>
      </c>
      <c r="M18" s="72"/>
      <c r="N18" s="71" cm="1">
        <f t="array" ref="N18">INDEX($W:$W,N17+2)</f>
        <v>359</v>
      </c>
      <c r="O18" s="72"/>
      <c r="P18" s="71" cm="1">
        <f t="array" ref="P18">INDEX($W:$W,P17+2)</f>
        <v>376</v>
      </c>
      <c r="Q18" s="72"/>
      <c r="R18" s="71" cm="1">
        <f t="array" ref="R18">INDEX($W:$W,R17+2)</f>
        <v>369</v>
      </c>
      <c r="S18" s="72"/>
      <c r="U18" s="78"/>
    </row>
    <row r="19" spans="1:39" ht="18" customHeight="1" x14ac:dyDescent="0.25">
      <c r="A19" s="9" t="s">
        <v>36</v>
      </c>
      <c r="B19" s="71" cm="1">
        <f t="array" ref="B19">B18+B15-INDEX($X:$X,B17+2)</f>
        <v>2586</v>
      </c>
      <c r="C19" s="72"/>
      <c r="D19" s="71" cm="1">
        <f t="array" ref="D19">D18+D15-INDEX($X:$X,D17+2)</f>
        <v>2821</v>
      </c>
      <c r="E19" s="72"/>
      <c r="F19" s="71" cm="1">
        <f t="array" ref="F19">F18+F15-INDEX($X:$X,F17+2)</f>
        <v>2502</v>
      </c>
      <c r="G19" s="72"/>
      <c r="H19" s="71" cm="1">
        <f t="array" ref="H19">H18+H15-INDEX($X:$X,H17+2)</f>
        <v>2809</v>
      </c>
      <c r="I19" s="72"/>
      <c r="J19" s="71" cm="1">
        <f t="array" ref="J19">J18+J15-INDEX($X:$X,J17+2)</f>
        <v>2396</v>
      </c>
      <c r="K19" s="72"/>
      <c r="L19" s="71" cm="1">
        <f t="array" ref="L19">L18+L15-INDEX($X:$X,L17+2)</f>
        <v>2387</v>
      </c>
      <c r="M19" s="72"/>
      <c r="N19" s="71" cm="1">
        <f t="array" ref="N19">N18+N15-INDEX($X:$X,N17+2)</f>
        <v>2500</v>
      </c>
      <c r="O19" s="72"/>
      <c r="P19" s="71" cm="1">
        <f t="array" ref="P19">P18+P15-INDEX($X:$X,P17+2)</f>
        <v>2395</v>
      </c>
      <c r="Q19" s="72"/>
      <c r="R19" s="71" cm="1">
        <f t="array" ref="R19">R18+R15-INDEX($X:$X,R17+2)</f>
        <v>2532</v>
      </c>
      <c r="S19" s="72"/>
      <c r="U19" s="78"/>
    </row>
    <row r="20" spans="1:39" ht="18" customHeight="1" x14ac:dyDescent="0.25">
      <c r="A20" s="9" t="s">
        <v>37</v>
      </c>
      <c r="B20" s="64">
        <v>2338</v>
      </c>
      <c r="C20" s="65"/>
      <c r="D20" s="64">
        <v>2544</v>
      </c>
      <c r="E20" s="65"/>
      <c r="F20" s="64">
        <v>2266</v>
      </c>
      <c r="G20" s="65"/>
      <c r="H20" s="64">
        <v>2529</v>
      </c>
      <c r="I20" s="65"/>
      <c r="J20" s="64">
        <v>2159</v>
      </c>
      <c r="K20" s="65"/>
      <c r="L20" s="64">
        <v>2135</v>
      </c>
      <c r="M20" s="65"/>
      <c r="N20" s="64">
        <v>2261</v>
      </c>
      <c r="O20" s="65"/>
      <c r="P20" s="64">
        <v>2146</v>
      </c>
      <c r="Q20" s="65"/>
      <c r="R20" s="64">
        <v>2295</v>
      </c>
      <c r="S20" s="65"/>
    </row>
    <row r="21" spans="1:39" s="1" customFormat="1" ht="18" customHeight="1" x14ac:dyDescent="0.25">
      <c r="A21" s="11" t="s">
        <v>38</v>
      </c>
      <c r="B21" s="73" cm="1">
        <f t="array" ref="B21">foursix((B19-B20)/(B20-B18)*100,1)</f>
        <v>12.6</v>
      </c>
      <c r="C21" s="74"/>
      <c r="D21" s="73" cm="1">
        <f t="array" ref="D21">foursix((D19-D20)/(D20-D18)*100,1)</f>
        <v>12.7</v>
      </c>
      <c r="E21" s="74"/>
      <c r="F21" s="73" cm="1">
        <f t="array" ref="F21">foursix((F19-F20)/(F20-F18)*100,1)</f>
        <v>12.5</v>
      </c>
      <c r="G21" s="74"/>
      <c r="H21" s="73" cm="1">
        <f t="array" ref="H21">foursix((H19-H20)/(H20-H18)*100,1)</f>
        <v>13</v>
      </c>
      <c r="I21" s="74"/>
      <c r="J21" s="73" cm="1">
        <f t="array" ref="J21">foursix((J19-J20)/(J20-J18)*100,1)</f>
        <v>13.4</v>
      </c>
      <c r="K21" s="74"/>
      <c r="L21" s="73" cm="1">
        <f t="array" ref="L21">foursix((L19-L20)/(L20-L18)*100,1)</f>
        <v>14.2</v>
      </c>
      <c r="M21" s="74"/>
      <c r="N21" s="73" cm="1">
        <f t="array" ref="N21">foursix((N19-N20)/(N20-N18)*100,1)</f>
        <v>12.6</v>
      </c>
      <c r="O21" s="74"/>
      <c r="P21" s="73" cm="1">
        <f t="array" ref="P21">foursix((P19-P20)/(P20-P18)*100,1)</f>
        <v>14.1</v>
      </c>
      <c r="Q21" s="74"/>
      <c r="R21" s="73" cm="1">
        <f t="array" ref="R21">foursix((R19-R20)/(R20-R18)*100,1)</f>
        <v>12.3</v>
      </c>
      <c r="S21" s="74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</row>
    <row r="22" spans="1:39" s="1" customFormat="1" ht="18" customHeight="1" x14ac:dyDescent="0.25">
      <c r="A22" s="11" t="s">
        <v>39</v>
      </c>
      <c r="B22" s="70" cm="1">
        <f t="array" ref="B22">foursix(B16/(1+0.01*B21),2)</f>
        <v>1.62</v>
      </c>
      <c r="C22" s="70"/>
      <c r="D22" s="70" cm="1">
        <f t="array" ref="D22">foursix(D16/(1+0.01*D21),2)</f>
        <v>1.61</v>
      </c>
      <c r="E22" s="70"/>
      <c r="F22" s="70" cm="1">
        <f t="array" ref="F22">foursix(F16/(1+0.01*F21),2)</f>
        <v>1.62</v>
      </c>
      <c r="G22" s="70"/>
      <c r="H22" s="70" cm="1">
        <f t="array" ref="H22">foursix(H16/(1+0.01*H21),2)</f>
        <v>1.63</v>
      </c>
      <c r="I22" s="70"/>
      <c r="J22" s="70" cm="1">
        <f t="array" ref="J22">foursix(J16/(1+0.01*J21),2)</f>
        <v>1.66</v>
      </c>
      <c r="K22" s="70"/>
      <c r="L22" s="70" cm="1">
        <f t="array" ref="L22">foursix(L16/(1+0.01*L21),2)</f>
        <v>1.65</v>
      </c>
      <c r="M22" s="70"/>
      <c r="N22" s="70" cm="1">
        <f t="array" ref="N22">foursix(N16/(1+0.01*N21),2)</f>
        <v>1.65</v>
      </c>
      <c r="O22" s="70"/>
      <c r="P22" s="70" cm="1">
        <f t="array" ref="P22">foursix(P16/(1+0.01*P21),2)</f>
        <v>1.67</v>
      </c>
      <c r="Q22" s="70"/>
      <c r="R22" s="70" cm="1">
        <f t="array" ref="R22">foursix(R16/(1+0.01*R21),2)</f>
        <v>1.67</v>
      </c>
      <c r="S22" s="70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</row>
    <row r="23" spans="1:39" ht="18" customHeight="1" x14ac:dyDescent="0.25">
      <c r="A23" s="9" t="s">
        <v>40</v>
      </c>
      <c r="B23" s="75">
        <f t="shared" ref="B23:F23" si="3">$W$2</f>
        <v>1.75</v>
      </c>
      <c r="C23" s="75"/>
      <c r="D23" s="75">
        <f t="shared" si="3"/>
        <v>1.75</v>
      </c>
      <c r="E23" s="75"/>
      <c r="F23" s="75">
        <f t="shared" si="3"/>
        <v>1.75</v>
      </c>
      <c r="G23" s="75"/>
      <c r="H23" s="75">
        <f t="shared" ref="H23:L23" si="4">$W$2</f>
        <v>1.75</v>
      </c>
      <c r="I23" s="75"/>
      <c r="J23" s="75">
        <f t="shared" si="4"/>
        <v>1.75</v>
      </c>
      <c r="K23" s="75"/>
      <c r="L23" s="75">
        <f t="shared" si="4"/>
        <v>1.75</v>
      </c>
      <c r="M23" s="75"/>
      <c r="N23" s="75">
        <f t="shared" ref="N23:R23" si="5">$W$2</f>
        <v>1.75</v>
      </c>
      <c r="O23" s="75"/>
      <c r="P23" s="75">
        <f t="shared" si="5"/>
        <v>1.75</v>
      </c>
      <c r="Q23" s="75"/>
      <c r="R23" s="75">
        <f t="shared" si="5"/>
        <v>1.75</v>
      </c>
      <c r="S23" s="75"/>
    </row>
    <row r="24" spans="1:39" s="2" customFormat="1" ht="18" customHeight="1" x14ac:dyDescent="0.25">
      <c r="A24" s="12" t="s">
        <v>41</v>
      </c>
      <c r="B24" s="76" cm="1">
        <f t="array" ref="B24">foursix(B22/B23*100,1)</f>
        <v>92.6</v>
      </c>
      <c r="C24" s="76"/>
      <c r="D24" s="76" cm="1">
        <f t="array" ref="D24">foursix(D22/D23*100,1)</f>
        <v>92</v>
      </c>
      <c r="E24" s="76"/>
      <c r="F24" s="76" cm="1">
        <f t="array" ref="F24">foursix(F22/F23*100,1)</f>
        <v>92.6</v>
      </c>
      <c r="G24" s="76"/>
      <c r="H24" s="76" cm="1">
        <f t="array" ref="H24">foursix(H22/H23*100,1)</f>
        <v>93.1</v>
      </c>
      <c r="I24" s="76"/>
      <c r="J24" s="76" cm="1">
        <f t="array" ref="J24">foursix(J22/J23*100,1)</f>
        <v>94.9</v>
      </c>
      <c r="K24" s="76"/>
      <c r="L24" s="76" cm="1">
        <f t="array" ref="L24">foursix(L22/L23*100,1)</f>
        <v>94.3</v>
      </c>
      <c r="M24" s="76"/>
      <c r="N24" s="76" cm="1">
        <f t="array" ref="N24">foursix(N22/N23*100,1)</f>
        <v>94.3</v>
      </c>
      <c r="O24" s="76"/>
      <c r="P24" s="76" cm="1">
        <f t="array" ref="P24">foursix(P22/P23*100,1)</f>
        <v>95.4</v>
      </c>
      <c r="Q24" s="76"/>
      <c r="R24" s="76" cm="1">
        <f t="array" ref="R24">foursix(R22/R23*100,1)</f>
        <v>95.4</v>
      </c>
      <c r="S24" s="76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</row>
    <row r="25" spans="1:39" ht="18" customHeight="1" x14ac:dyDescent="0.25">
      <c r="A25" s="9" t="s">
        <v>42</v>
      </c>
      <c r="B25" s="53" t="s">
        <v>43</v>
      </c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7"/>
    </row>
    <row r="26" spans="1:39" ht="18" customHeight="1" x14ac:dyDescent="0.25">
      <c r="A26" s="9" t="s">
        <v>44</v>
      </c>
      <c r="B26" s="53" t="s">
        <v>45</v>
      </c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7"/>
    </row>
    <row r="27" spans="1:39" ht="18" customHeight="1" x14ac:dyDescent="0.25">
      <c r="A27" s="9" t="s">
        <v>46</v>
      </c>
      <c r="B27" s="53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7"/>
    </row>
    <row r="28" spans="1:39" ht="19" customHeight="1" x14ac:dyDescent="0.25">
      <c r="A28" s="13" t="s">
        <v>47</v>
      </c>
      <c r="F28" s="5" t="s">
        <v>48</v>
      </c>
      <c r="K28" s="77" t="s">
        <v>49</v>
      </c>
      <c r="L28" s="77"/>
    </row>
    <row r="29" spans="1:39" ht="19" customHeight="1" x14ac:dyDescent="0.25"/>
    <row r="30" spans="1:39" ht="19" customHeight="1" x14ac:dyDescent="0.25"/>
    <row r="31" spans="1:39" ht="19" customHeight="1" x14ac:dyDescent="0.25"/>
    <row r="32" spans="1:39" ht="19" customHeight="1" x14ac:dyDescent="0.25"/>
    <row r="33" ht="19" customHeight="1" x14ac:dyDescent="0.25"/>
    <row r="34" ht="19" customHeight="1" x14ac:dyDescent="0.25"/>
    <row r="35" ht="19" customHeight="1" x14ac:dyDescent="0.25"/>
    <row r="36" ht="19" customHeight="1" x14ac:dyDescent="0.25"/>
    <row r="37" ht="19" customHeight="1" x14ac:dyDescent="0.25"/>
    <row r="38" ht="19" customHeight="1" x14ac:dyDescent="0.25"/>
    <row r="39" ht="19" customHeight="1" x14ac:dyDescent="0.25"/>
    <row r="40" ht="19" customHeight="1" x14ac:dyDescent="0.25"/>
    <row r="43" ht="26.25" customHeight="1" x14ac:dyDescent="0.25"/>
  </sheetData>
  <mergeCells count="180">
    <mergeCell ref="B25:S25"/>
    <mergeCell ref="B26:S26"/>
    <mergeCell ref="B27:S27"/>
    <mergeCell ref="K28:L28"/>
    <mergeCell ref="U6:U7"/>
    <mergeCell ref="U8:U9"/>
    <mergeCell ref="U10:U11"/>
    <mergeCell ref="U12:U13"/>
    <mergeCell ref="U14:U15"/>
    <mergeCell ref="U16:U17"/>
    <mergeCell ref="U18:U19"/>
    <mergeCell ref="B24:C24"/>
    <mergeCell ref="D24:E24"/>
    <mergeCell ref="F24:G24"/>
    <mergeCell ref="H24:I24"/>
    <mergeCell ref="J24:K24"/>
    <mergeCell ref="L24:M24"/>
    <mergeCell ref="N24:O24"/>
    <mergeCell ref="P24:Q24"/>
    <mergeCell ref="R24:S24"/>
    <mergeCell ref="B23:C23"/>
    <mergeCell ref="D23:E23"/>
    <mergeCell ref="F23:G23"/>
    <mergeCell ref="H23:I23"/>
    <mergeCell ref="J23:K23"/>
    <mergeCell ref="L23:M23"/>
    <mergeCell ref="N23:O23"/>
    <mergeCell ref="P23:Q23"/>
    <mergeCell ref="R23:S23"/>
    <mergeCell ref="B22:C22"/>
    <mergeCell ref="D22:E22"/>
    <mergeCell ref="F22:G22"/>
    <mergeCell ref="H22:I22"/>
    <mergeCell ref="J22:K22"/>
    <mergeCell ref="L22:M22"/>
    <mergeCell ref="N22:O22"/>
    <mergeCell ref="P22:Q22"/>
    <mergeCell ref="R22:S22"/>
    <mergeCell ref="B21:C21"/>
    <mergeCell ref="D21:E21"/>
    <mergeCell ref="F21:G21"/>
    <mergeCell ref="H21:I21"/>
    <mergeCell ref="J21:K21"/>
    <mergeCell ref="L21:M21"/>
    <mergeCell ref="N21:O21"/>
    <mergeCell ref="P21:Q21"/>
    <mergeCell ref="R21:S21"/>
    <mergeCell ref="B20:C20"/>
    <mergeCell ref="D20:E20"/>
    <mergeCell ref="F20:G20"/>
    <mergeCell ref="H20:I20"/>
    <mergeCell ref="J20:K20"/>
    <mergeCell ref="L20:M20"/>
    <mergeCell ref="N20:O20"/>
    <mergeCell ref="P20:Q20"/>
    <mergeCell ref="R20:S20"/>
    <mergeCell ref="B19:C19"/>
    <mergeCell ref="D19:E19"/>
    <mergeCell ref="F19:G19"/>
    <mergeCell ref="H19:I19"/>
    <mergeCell ref="J19:K19"/>
    <mergeCell ref="L19:M19"/>
    <mergeCell ref="N19:O19"/>
    <mergeCell ref="P19:Q19"/>
    <mergeCell ref="R19:S19"/>
    <mergeCell ref="B18:C18"/>
    <mergeCell ref="D18:E18"/>
    <mergeCell ref="F18:G18"/>
    <mergeCell ref="H18:I18"/>
    <mergeCell ref="J18:K18"/>
    <mergeCell ref="L18:M18"/>
    <mergeCell ref="N18:O18"/>
    <mergeCell ref="P18:Q18"/>
    <mergeCell ref="R18:S18"/>
    <mergeCell ref="B17:C17"/>
    <mergeCell ref="D17:E17"/>
    <mergeCell ref="F17:G17"/>
    <mergeCell ref="H17:I17"/>
    <mergeCell ref="J17:K17"/>
    <mergeCell ref="L17:M17"/>
    <mergeCell ref="N17:O17"/>
    <mergeCell ref="P17:Q17"/>
    <mergeCell ref="R17:S17"/>
    <mergeCell ref="B16:C16"/>
    <mergeCell ref="D16:E16"/>
    <mergeCell ref="F16:G16"/>
    <mergeCell ref="H16:I16"/>
    <mergeCell ref="J16:K16"/>
    <mergeCell ref="L16:M16"/>
    <mergeCell ref="N16:O16"/>
    <mergeCell ref="P16:Q16"/>
    <mergeCell ref="R16:S16"/>
    <mergeCell ref="B15:C15"/>
    <mergeCell ref="D15:E15"/>
    <mergeCell ref="F15:G15"/>
    <mergeCell ref="H15:I15"/>
    <mergeCell ref="J15:K15"/>
    <mergeCell ref="L15:M15"/>
    <mergeCell ref="N15:O15"/>
    <mergeCell ref="P15:Q15"/>
    <mergeCell ref="R15:S15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B13:C13"/>
    <mergeCell ref="D13:E13"/>
    <mergeCell ref="F13:G13"/>
    <mergeCell ref="H13:I13"/>
    <mergeCell ref="J13:K13"/>
    <mergeCell ref="L13:M13"/>
    <mergeCell ref="N13:O13"/>
    <mergeCell ref="P13:Q13"/>
    <mergeCell ref="R13:S13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B5:S5"/>
    <mergeCell ref="B6:G6"/>
    <mergeCell ref="H6:M6"/>
    <mergeCell ref="N6:S6"/>
    <mergeCell ref="B7:G7"/>
    <mergeCell ref="H7:M7"/>
    <mergeCell ref="N7:S7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A1:M1"/>
    <mergeCell ref="N1:Q1"/>
    <mergeCell ref="R1:U1"/>
    <mergeCell ref="A2:U2"/>
    <mergeCell ref="A3:C3"/>
    <mergeCell ref="D3:G3"/>
    <mergeCell ref="J3:L3"/>
    <mergeCell ref="M3:S3"/>
    <mergeCell ref="B4:S4"/>
  </mergeCells>
  <phoneticPr fontId="31" type="noConversion"/>
  <printOptions horizontalCentered="1"/>
  <pageMargins left="0.55118110236220497" right="0.55118110236220497" top="0.39370078740157499" bottom="0.196850393700787" header="0.511811023622047" footer="0.511811023622047"/>
  <pageSetup paperSize="9" orientation="landscape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M43"/>
  <sheetViews>
    <sheetView workbookViewId="0">
      <selection activeCell="X3" sqref="X3:X17"/>
    </sheetView>
  </sheetViews>
  <sheetFormatPr defaultColWidth="9" defaultRowHeight="15" x14ac:dyDescent="0.25"/>
  <cols>
    <col min="1" max="1" width="24.58203125" style="3" customWidth="1"/>
    <col min="2" max="19" width="5.58203125" style="3" customWidth="1"/>
    <col min="20" max="21" width="9" style="3"/>
    <col min="22" max="22" width="10.4140625" style="3" customWidth="1"/>
    <col min="23" max="16384" width="9" style="3"/>
  </cols>
  <sheetData>
    <row r="1" spans="1:25" ht="17.5" x14ac:dyDescent="0.25">
      <c r="A1" s="39" t="s">
        <v>59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40" t="s">
        <v>1</v>
      </c>
      <c r="O1" s="40"/>
      <c r="P1" s="40"/>
      <c r="Q1" s="40"/>
      <c r="R1" s="40"/>
      <c r="S1" s="40"/>
      <c r="T1" s="40"/>
      <c r="U1" s="40"/>
    </row>
    <row r="2" spans="1:25" ht="23" x14ac:dyDescent="0.25">
      <c r="A2" s="41" t="s">
        <v>2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" t="s">
        <v>65</v>
      </c>
      <c r="W2" s="4">
        <v>1.75</v>
      </c>
    </row>
    <row r="3" spans="1:25" ht="19" customHeight="1" x14ac:dyDescent="0.25">
      <c r="A3" s="42" t="s">
        <v>60</v>
      </c>
      <c r="B3" s="42"/>
      <c r="C3" s="42"/>
      <c r="D3" s="42"/>
      <c r="E3" s="42"/>
      <c r="F3" s="42"/>
      <c r="G3" s="42"/>
      <c r="H3" s="5" t="s">
        <v>4</v>
      </c>
      <c r="J3" s="43" t="s">
        <v>5</v>
      </c>
      <c r="K3" s="43"/>
      <c r="L3" s="43"/>
      <c r="M3" s="44" t="s">
        <v>61</v>
      </c>
      <c r="N3" s="44"/>
      <c r="O3" s="44"/>
      <c r="P3" s="44"/>
      <c r="Q3" s="44"/>
      <c r="R3" s="44"/>
      <c r="S3" s="44"/>
      <c r="V3" s="6">
        <v>1</v>
      </c>
      <c r="W3" s="6">
        <v>380</v>
      </c>
      <c r="X3" s="7">
        <v>3</v>
      </c>
      <c r="Y3" s="8">
        <f ca="1">RANDBETWEEN(0,5)</f>
        <v>1</v>
      </c>
    </row>
    <row r="4" spans="1:25" ht="19" customHeight="1" x14ac:dyDescent="0.25">
      <c r="A4" s="9" t="s">
        <v>7</v>
      </c>
      <c r="B4" s="53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7"/>
      <c r="V4" s="6">
        <v>2</v>
      </c>
      <c r="W4" s="6">
        <v>375</v>
      </c>
      <c r="X4" s="7">
        <v>2</v>
      </c>
      <c r="Y4" s="8">
        <f t="shared" ref="Y4:Y17" ca="1" si="0">RANDBETWEEN(0,5)</f>
        <v>0</v>
      </c>
    </row>
    <row r="5" spans="1:25" ht="19" customHeight="1" x14ac:dyDescent="0.25">
      <c r="A5" s="9" t="s">
        <v>9</v>
      </c>
      <c r="B5" s="53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7"/>
      <c r="V5" s="6">
        <v>3</v>
      </c>
      <c r="W5" s="6">
        <v>371</v>
      </c>
      <c r="X5" s="7">
        <v>0</v>
      </c>
      <c r="Y5" s="8">
        <f t="shared" ca="1" si="0"/>
        <v>3</v>
      </c>
    </row>
    <row r="6" spans="1:25" ht="18" customHeight="1" x14ac:dyDescent="0.25">
      <c r="A6" s="9" t="s">
        <v>11</v>
      </c>
      <c r="B6" s="58"/>
      <c r="C6" s="59"/>
      <c r="D6" s="58"/>
      <c r="E6" s="59"/>
      <c r="F6" s="58"/>
      <c r="G6" s="59"/>
      <c r="H6" s="58"/>
      <c r="I6" s="59"/>
      <c r="J6" s="58"/>
      <c r="K6" s="59"/>
      <c r="L6" s="53"/>
      <c r="M6" s="47"/>
      <c r="N6" s="53"/>
      <c r="O6" s="47"/>
      <c r="P6" s="53"/>
      <c r="Q6" s="47"/>
      <c r="R6" s="53"/>
      <c r="S6" s="47"/>
      <c r="V6" s="6">
        <v>4</v>
      </c>
      <c r="W6" s="6">
        <v>364</v>
      </c>
      <c r="X6" s="7">
        <v>1</v>
      </c>
      <c r="Y6" s="8">
        <f t="shared" ca="1" si="0"/>
        <v>4</v>
      </c>
    </row>
    <row r="7" spans="1:25" ht="18" customHeight="1" x14ac:dyDescent="0.25">
      <c r="A7" s="9" t="s">
        <v>62</v>
      </c>
      <c r="B7" s="58"/>
      <c r="C7" s="59"/>
      <c r="D7" s="58"/>
      <c r="E7" s="59"/>
      <c r="F7" s="58"/>
      <c r="G7" s="59"/>
      <c r="H7" s="58"/>
      <c r="I7" s="59"/>
      <c r="J7" s="58"/>
      <c r="K7" s="59"/>
      <c r="L7" s="53"/>
      <c r="M7" s="47"/>
      <c r="N7" s="53"/>
      <c r="O7" s="47"/>
      <c r="P7" s="53"/>
      <c r="Q7" s="47"/>
      <c r="R7" s="53"/>
      <c r="S7" s="47"/>
      <c r="V7" s="6">
        <v>5</v>
      </c>
      <c r="W7" s="6">
        <v>372</v>
      </c>
      <c r="X7" s="7">
        <v>4</v>
      </c>
      <c r="Y7" s="8">
        <f t="shared" ca="1" si="0"/>
        <v>5</v>
      </c>
    </row>
    <row r="8" spans="1:25" ht="18" customHeight="1" x14ac:dyDescent="0.25">
      <c r="A8" s="9" t="s">
        <v>24</v>
      </c>
      <c r="B8" s="57">
        <v>1</v>
      </c>
      <c r="C8" s="57"/>
      <c r="D8" s="58">
        <v>2</v>
      </c>
      <c r="E8" s="59"/>
      <c r="F8" s="58">
        <v>3</v>
      </c>
      <c r="G8" s="59"/>
      <c r="H8" s="60">
        <v>4</v>
      </c>
      <c r="I8" s="61"/>
      <c r="J8" s="60">
        <v>5</v>
      </c>
      <c r="K8" s="61"/>
      <c r="L8" s="62">
        <v>6</v>
      </c>
      <c r="M8" s="63"/>
      <c r="N8" s="62">
        <v>7</v>
      </c>
      <c r="O8" s="63"/>
      <c r="P8" s="53">
        <v>8</v>
      </c>
      <c r="Q8" s="47"/>
      <c r="R8" s="53">
        <v>9</v>
      </c>
      <c r="S8" s="47"/>
      <c r="V8" s="6">
        <v>6</v>
      </c>
      <c r="W8" s="6">
        <v>368</v>
      </c>
      <c r="X8" s="7">
        <v>2</v>
      </c>
      <c r="Y8" s="8">
        <f t="shared" ca="1" si="0"/>
        <v>3</v>
      </c>
    </row>
    <row r="9" spans="1:25" ht="18" customHeight="1" x14ac:dyDescent="0.25">
      <c r="A9" s="9" t="s">
        <v>25</v>
      </c>
      <c r="B9" s="69">
        <v>8229</v>
      </c>
      <c r="C9" s="69"/>
      <c r="D9" s="69">
        <v>8213</v>
      </c>
      <c r="E9" s="69"/>
      <c r="F9" s="69">
        <v>8209</v>
      </c>
      <c r="G9" s="69"/>
      <c r="H9" s="69">
        <v>8207</v>
      </c>
      <c r="I9" s="69"/>
      <c r="J9" s="69">
        <v>8196</v>
      </c>
      <c r="K9" s="69"/>
      <c r="L9" s="69">
        <v>8196</v>
      </c>
      <c r="M9" s="69"/>
      <c r="N9" s="69">
        <v>8176</v>
      </c>
      <c r="O9" s="69"/>
      <c r="P9" s="69">
        <v>8175</v>
      </c>
      <c r="Q9" s="69"/>
      <c r="R9" s="69">
        <v>8175</v>
      </c>
      <c r="S9" s="69"/>
      <c r="V9" s="6">
        <v>7</v>
      </c>
      <c r="W9" s="6">
        <v>388</v>
      </c>
      <c r="X9" s="7">
        <v>3</v>
      </c>
      <c r="Y9" s="8">
        <f t="shared" ca="1" si="0"/>
        <v>2</v>
      </c>
    </row>
    <row r="10" spans="1:25" ht="18" customHeight="1" x14ac:dyDescent="0.25">
      <c r="A10" s="9" t="s">
        <v>26</v>
      </c>
      <c r="B10" s="150">
        <f>ROUND(B9-B11-B12,0)</f>
        <v>5785</v>
      </c>
      <c r="C10" s="151"/>
      <c r="D10" s="150">
        <f>ROUND(D9-D11-D12,0)</f>
        <v>5580</v>
      </c>
      <c r="E10" s="151"/>
      <c r="F10" s="150">
        <f>ROUND(F9-F11-F12,0)</f>
        <v>5827</v>
      </c>
      <c r="G10" s="151"/>
      <c r="H10" s="150">
        <f>ROUND(H9-H11-H12,0)</f>
        <v>5612</v>
      </c>
      <c r="I10" s="151"/>
      <c r="J10" s="150">
        <f>ROUND(J9-J11-J12,0)</f>
        <v>5955</v>
      </c>
      <c r="K10" s="151"/>
      <c r="L10" s="150">
        <f>ROUND(L9-L11-L12,0)</f>
        <v>5955</v>
      </c>
      <c r="M10" s="151"/>
      <c r="N10" s="150">
        <f>ROUND(N9-N11-N12,0)</f>
        <v>5818</v>
      </c>
      <c r="O10" s="151"/>
      <c r="P10" s="150">
        <f>ROUND(P9-P11-P12,0)</f>
        <v>5949</v>
      </c>
      <c r="Q10" s="151"/>
      <c r="R10" s="150">
        <f>ROUND(R9-R11-R12,0)</f>
        <v>5812</v>
      </c>
      <c r="S10" s="151"/>
      <c r="V10" s="6">
        <v>8</v>
      </c>
      <c r="W10" s="6">
        <v>359</v>
      </c>
      <c r="X10" s="7">
        <v>5</v>
      </c>
      <c r="Y10" s="8">
        <f t="shared" ca="1" si="0"/>
        <v>0</v>
      </c>
    </row>
    <row r="11" spans="1:25" ht="26.25" customHeight="1" x14ac:dyDescent="0.25">
      <c r="A11" s="10" t="s">
        <v>27</v>
      </c>
      <c r="B11" s="152">
        <v>730</v>
      </c>
      <c r="C11" s="152"/>
      <c r="D11" s="152">
        <v>730</v>
      </c>
      <c r="E11" s="152"/>
      <c r="F11" s="152">
        <v>730</v>
      </c>
      <c r="G11" s="152"/>
      <c r="H11" s="152">
        <v>730</v>
      </c>
      <c r="I11" s="152"/>
      <c r="J11" s="152">
        <v>730</v>
      </c>
      <c r="K11" s="152"/>
      <c r="L11" s="152">
        <v>730</v>
      </c>
      <c r="M11" s="152"/>
      <c r="N11" s="152">
        <v>730</v>
      </c>
      <c r="O11" s="152"/>
      <c r="P11" s="152">
        <v>730</v>
      </c>
      <c r="Q11" s="152"/>
      <c r="R11" s="152">
        <v>730</v>
      </c>
      <c r="S11" s="152"/>
      <c r="V11" s="6">
        <v>9</v>
      </c>
      <c r="W11" s="6">
        <v>376</v>
      </c>
      <c r="X11" s="7">
        <v>0</v>
      </c>
      <c r="Y11" s="8">
        <f t="shared" ca="1" si="0"/>
        <v>3</v>
      </c>
    </row>
    <row r="12" spans="1:25" ht="18" customHeight="1" x14ac:dyDescent="0.25">
      <c r="A12" s="9" t="s">
        <v>28</v>
      </c>
      <c r="B12" s="152">
        <f>B14*B13</f>
        <v>1714.26104771269</v>
      </c>
      <c r="C12" s="152"/>
      <c r="D12" s="152">
        <f>D14*D13</f>
        <v>1903.1091829356501</v>
      </c>
      <c r="E12" s="152"/>
      <c r="F12" s="152">
        <f>F14*F13</f>
        <v>1651.65160208373</v>
      </c>
      <c r="G12" s="152"/>
      <c r="H12" s="152">
        <f>H14*H13</f>
        <v>1864.5895355001801</v>
      </c>
      <c r="I12" s="152"/>
      <c r="J12" s="152">
        <f>J14*J13</f>
        <v>1510.6555985095899</v>
      </c>
      <c r="K12" s="152"/>
      <c r="L12" s="152">
        <f>L14*L13</f>
        <v>1510.55569229303</v>
      </c>
      <c r="M12" s="152"/>
      <c r="N12" s="152">
        <f>N14*N13</f>
        <v>1628.39851758292</v>
      </c>
      <c r="O12" s="152"/>
      <c r="P12" s="152">
        <f>P14*P13</f>
        <v>1496.0249545070001</v>
      </c>
      <c r="Q12" s="152"/>
      <c r="R12" s="152">
        <f>R14*R13</f>
        <v>1632.5934403638601</v>
      </c>
      <c r="S12" s="152"/>
      <c r="V12" s="6">
        <v>10</v>
      </c>
      <c r="W12" s="6">
        <v>377</v>
      </c>
      <c r="X12" s="7">
        <v>3</v>
      </c>
      <c r="Y12" s="8">
        <f t="shared" ca="1" si="0"/>
        <v>5</v>
      </c>
    </row>
    <row r="13" spans="1:25" ht="18" customHeight="1" x14ac:dyDescent="0.25">
      <c r="A13" s="9" t="s">
        <v>29</v>
      </c>
      <c r="B13" s="153">
        <v>1.41</v>
      </c>
      <c r="C13" s="153"/>
      <c r="D13" s="153">
        <v>1.41</v>
      </c>
      <c r="E13" s="153"/>
      <c r="F13" s="153">
        <v>1.41</v>
      </c>
      <c r="G13" s="153"/>
      <c r="H13" s="153">
        <v>1.41</v>
      </c>
      <c r="I13" s="153"/>
      <c r="J13" s="153">
        <v>1.41</v>
      </c>
      <c r="K13" s="153"/>
      <c r="L13" s="153">
        <v>1.41</v>
      </c>
      <c r="M13" s="153"/>
      <c r="N13" s="153">
        <v>1.41</v>
      </c>
      <c r="O13" s="153"/>
      <c r="P13" s="153">
        <v>1.41</v>
      </c>
      <c r="Q13" s="153"/>
      <c r="R13" s="153">
        <v>1.41</v>
      </c>
      <c r="S13" s="153"/>
      <c r="V13" s="6">
        <v>11</v>
      </c>
      <c r="W13" s="6">
        <v>368</v>
      </c>
      <c r="X13" s="7">
        <v>5</v>
      </c>
      <c r="Y13" s="8">
        <f t="shared" ca="1" si="0"/>
        <v>1</v>
      </c>
    </row>
    <row r="14" spans="1:25" ht="18" customHeight="1" x14ac:dyDescent="0.25">
      <c r="A14" s="9" t="s">
        <v>31</v>
      </c>
      <c r="B14" s="154">
        <f>B15/B16</f>
        <v>1215.7879771012001</v>
      </c>
      <c r="C14" s="152"/>
      <c r="D14" s="154">
        <f>D15/D16</f>
        <v>1349.7228247770499</v>
      </c>
      <c r="E14" s="152"/>
      <c r="F14" s="154">
        <f>F15/F16</f>
        <v>1171.3841149530001</v>
      </c>
      <c r="G14" s="152"/>
      <c r="H14" s="154">
        <f>H15/H16</f>
        <v>1322.4039258866601</v>
      </c>
      <c r="I14" s="152"/>
      <c r="J14" s="154">
        <f>J15/J16</f>
        <v>1071.38694929759</v>
      </c>
      <c r="K14" s="152"/>
      <c r="L14" s="154">
        <f>L15/L16</f>
        <v>1071.31609382485</v>
      </c>
      <c r="M14" s="152"/>
      <c r="N14" s="154">
        <f>N15/N16</f>
        <v>1154.89256566164</v>
      </c>
      <c r="O14" s="152"/>
      <c r="P14" s="154">
        <f>P15/P16</f>
        <v>1061.0106060333401</v>
      </c>
      <c r="Q14" s="152"/>
      <c r="R14" s="154">
        <f>R15/R16</f>
        <v>1157.8676882013201</v>
      </c>
      <c r="S14" s="152"/>
      <c r="V14" s="6">
        <v>12</v>
      </c>
      <c r="W14" s="6">
        <v>369</v>
      </c>
      <c r="X14" s="7">
        <v>1</v>
      </c>
      <c r="Y14" s="8">
        <f t="shared" ca="1" si="0"/>
        <v>3</v>
      </c>
    </row>
    <row r="15" spans="1:25" ht="18" customHeight="1" x14ac:dyDescent="0.25">
      <c r="A15" s="9" t="s">
        <v>32</v>
      </c>
      <c r="B15" s="155">
        <v>2218</v>
      </c>
      <c r="C15" s="155"/>
      <c r="D15" s="155">
        <v>2450</v>
      </c>
      <c r="E15" s="155"/>
      <c r="F15" s="155">
        <v>2129</v>
      </c>
      <c r="G15" s="155"/>
      <c r="H15" s="155">
        <v>2432</v>
      </c>
      <c r="I15" s="155"/>
      <c r="J15" s="155">
        <v>2011</v>
      </c>
      <c r="K15" s="155"/>
      <c r="L15" s="155">
        <v>2024</v>
      </c>
      <c r="M15" s="155"/>
      <c r="N15" s="155">
        <v>2146</v>
      </c>
      <c r="O15" s="155"/>
      <c r="P15" s="155">
        <v>2019</v>
      </c>
      <c r="Q15" s="155"/>
      <c r="R15" s="155">
        <v>2164</v>
      </c>
      <c r="S15" s="155"/>
      <c r="V15" s="6">
        <v>13</v>
      </c>
      <c r="W15" s="6">
        <v>367</v>
      </c>
      <c r="X15" s="7">
        <v>0</v>
      </c>
      <c r="Y15" s="8">
        <f t="shared" ca="1" si="0"/>
        <v>3</v>
      </c>
    </row>
    <row r="16" spans="1:25" ht="18" customHeight="1" x14ac:dyDescent="0.25">
      <c r="A16" s="9" t="s">
        <v>33</v>
      </c>
      <c r="B16" s="156">
        <f>B22*(1+B21/100)</f>
        <v>1.82433125</v>
      </c>
      <c r="C16" s="156"/>
      <c r="D16" s="156">
        <f>D22*(1+D21/100)</f>
        <v>1.8151875</v>
      </c>
      <c r="E16" s="156"/>
      <c r="F16" s="156">
        <f>F22*(1+F21/100)</f>
        <v>1.8175079999999999</v>
      </c>
      <c r="G16" s="156"/>
      <c r="H16" s="156">
        <f>H22*(1+H21/100)</f>
        <v>1.839075</v>
      </c>
      <c r="I16" s="156"/>
      <c r="J16" s="156">
        <f>J22*(1+J21/100)</f>
        <v>1.87700625</v>
      </c>
      <c r="K16" s="156"/>
      <c r="L16" s="156">
        <f>L22*(1+L21/100)</f>
        <v>1.889265</v>
      </c>
      <c r="M16" s="156"/>
      <c r="N16" s="156">
        <f>N22*(1+N21/100)</f>
        <v>1.8581814999999999</v>
      </c>
      <c r="O16" s="156"/>
      <c r="P16" s="156">
        <f>P22*(1+P21/100)</f>
        <v>1.90290275</v>
      </c>
      <c r="Q16" s="156"/>
      <c r="R16" s="156">
        <f>R22*(1+R21/100)</f>
        <v>1.8689527500000001</v>
      </c>
      <c r="S16" s="156"/>
      <c r="V16" s="6">
        <v>14</v>
      </c>
      <c r="W16" s="6">
        <v>382</v>
      </c>
      <c r="X16" s="7">
        <v>0</v>
      </c>
      <c r="Y16" s="8">
        <f t="shared" ca="1" si="0"/>
        <v>1</v>
      </c>
    </row>
    <row r="17" spans="1:39" ht="18" customHeight="1" x14ac:dyDescent="0.25">
      <c r="A17" s="9" t="s">
        <v>34</v>
      </c>
      <c r="B17" s="157">
        <v>5</v>
      </c>
      <c r="C17" s="158"/>
      <c r="D17" s="157">
        <v>3</v>
      </c>
      <c r="E17" s="158"/>
      <c r="F17" s="157">
        <v>2</v>
      </c>
      <c r="G17" s="158"/>
      <c r="H17" s="157">
        <v>1</v>
      </c>
      <c r="I17" s="158"/>
      <c r="J17" s="157">
        <v>7</v>
      </c>
      <c r="K17" s="158"/>
      <c r="L17" s="157">
        <v>4</v>
      </c>
      <c r="M17" s="158"/>
      <c r="N17" s="157">
        <v>8</v>
      </c>
      <c r="O17" s="158"/>
      <c r="P17" s="157">
        <v>9</v>
      </c>
      <c r="Q17" s="158"/>
      <c r="R17" s="157">
        <v>12</v>
      </c>
      <c r="S17" s="158"/>
      <c r="V17" s="6">
        <v>15</v>
      </c>
      <c r="W17" s="6">
        <v>374</v>
      </c>
      <c r="X17" s="7">
        <v>0</v>
      </c>
      <c r="Y17" s="8">
        <f t="shared" ca="1" si="0"/>
        <v>2</v>
      </c>
    </row>
    <row r="18" spans="1:39" ht="18" customHeight="1" x14ac:dyDescent="0.25">
      <c r="A18" s="9" t="s">
        <v>35</v>
      </c>
      <c r="B18" s="150" cm="1">
        <f t="array" ref="B18">INDEX($W:$W,B17+2)</f>
        <v>372</v>
      </c>
      <c r="C18" s="151"/>
      <c r="D18" s="150" cm="1">
        <f t="array" ref="D18">INDEX($W:$W,D17+2)</f>
        <v>371</v>
      </c>
      <c r="E18" s="151"/>
      <c r="F18" s="150" cm="1">
        <f t="array" ref="F18">INDEX($W:$W,F17+2)</f>
        <v>375</v>
      </c>
      <c r="G18" s="151"/>
      <c r="H18" s="150" cm="1">
        <f t="array" ref="H18">INDEX($W:$W,H17+2)</f>
        <v>380</v>
      </c>
      <c r="I18" s="151"/>
      <c r="J18" s="150" cm="1">
        <f t="array" ref="J18">INDEX($W:$W,J17+2)</f>
        <v>388</v>
      </c>
      <c r="K18" s="151"/>
      <c r="L18" s="150" cm="1">
        <f t="array" ref="L18">INDEX($W:$W,L17+2)</f>
        <v>364</v>
      </c>
      <c r="M18" s="151"/>
      <c r="N18" s="150" cm="1">
        <f t="array" ref="N18">INDEX($W:$W,N17+2)</f>
        <v>359</v>
      </c>
      <c r="O18" s="151"/>
      <c r="P18" s="150" cm="1">
        <f t="array" ref="P18">INDEX($W:$W,P17+2)</f>
        <v>376</v>
      </c>
      <c r="Q18" s="151"/>
      <c r="R18" s="150" cm="1">
        <f t="array" ref="R18">INDEX($W:$W,R17+2)</f>
        <v>369</v>
      </c>
      <c r="S18" s="151"/>
    </row>
    <row r="19" spans="1:39" ht="18" customHeight="1" x14ac:dyDescent="0.25">
      <c r="A19" s="9" t="s">
        <v>36</v>
      </c>
      <c r="B19" s="150" cm="1">
        <f t="array" ref="B19">B18+B15-INDEX($X:$X,B17+2)</f>
        <v>2586</v>
      </c>
      <c r="C19" s="151"/>
      <c r="D19" s="150" cm="1">
        <f t="array" ref="D19">D18+D15-INDEX($X:$X,D17+2)</f>
        <v>2821</v>
      </c>
      <c r="E19" s="151"/>
      <c r="F19" s="150" cm="1">
        <f t="array" ref="F19">F18+F15-INDEX($X:$X,F17+2)</f>
        <v>2502</v>
      </c>
      <c r="G19" s="151"/>
      <c r="H19" s="150" cm="1">
        <f t="array" ref="H19">H18+H15-INDEX($X:$X,H17+2)</f>
        <v>2809</v>
      </c>
      <c r="I19" s="151"/>
      <c r="J19" s="150" cm="1">
        <f t="array" ref="J19">J18+J15-INDEX($X:$X,J17+2)</f>
        <v>2396</v>
      </c>
      <c r="K19" s="151"/>
      <c r="L19" s="150" cm="1">
        <f t="array" ref="L19">L18+L15-INDEX($X:$X,L17+2)</f>
        <v>2387</v>
      </c>
      <c r="M19" s="151"/>
      <c r="N19" s="150" cm="1">
        <f t="array" ref="N19">N18+N15-INDEX($X:$X,N17+2)</f>
        <v>2500</v>
      </c>
      <c r="O19" s="151"/>
      <c r="P19" s="150" cm="1">
        <f t="array" ref="P19">P18+P15-INDEX($X:$X,P17+2)</f>
        <v>2395</v>
      </c>
      <c r="Q19" s="151"/>
      <c r="R19" s="150" cm="1">
        <f t="array" ref="R19">R18+R15-INDEX($X:$X,R17+2)</f>
        <v>2532</v>
      </c>
      <c r="S19" s="151"/>
    </row>
    <row r="20" spans="1:39" ht="18" customHeight="1" x14ac:dyDescent="0.25">
      <c r="A20" s="9" t="s">
        <v>37</v>
      </c>
      <c r="B20" s="159">
        <f>ROUND((B19+B21/100*B18)/(B21/100+1),0)</f>
        <v>2337</v>
      </c>
      <c r="C20" s="160"/>
      <c r="D20" s="159">
        <f>ROUND((D19+D21/100*D18)/(D21/100+1),0)</f>
        <v>2549</v>
      </c>
      <c r="E20" s="160"/>
      <c r="F20" s="159">
        <f>ROUND((F19+F21/100*F18)/(F21/100+1),0)</f>
        <v>2267</v>
      </c>
      <c r="G20" s="160"/>
      <c r="H20" s="159">
        <f>ROUND((H19+H21/100*H18)/(H21/100+1),0)</f>
        <v>2530</v>
      </c>
      <c r="I20" s="160"/>
      <c r="J20" s="159">
        <f>ROUND((J19+J21/100*J18)/(J21/100+1),0)</f>
        <v>2157</v>
      </c>
      <c r="K20" s="160"/>
      <c r="L20" s="159">
        <f>ROUND((L19+L21/100*L18)/(L21/100+1),0)</f>
        <v>2139</v>
      </c>
      <c r="M20" s="160"/>
      <c r="N20" s="159">
        <f>ROUND((N19+N21/100*N18)/(N21/100+1),0)</f>
        <v>2260</v>
      </c>
      <c r="O20" s="160"/>
      <c r="P20" s="159">
        <f>ROUND((P19+P21/100*P18)/(P21/100+1),0)</f>
        <v>2146</v>
      </c>
      <c r="Q20" s="160"/>
      <c r="R20" s="159">
        <f>ROUND((R19+R21/100*R18)/(R21/100+1),0)</f>
        <v>2295</v>
      </c>
      <c r="S20" s="160"/>
    </row>
    <row r="21" spans="1:39" s="1" customFormat="1" ht="18" customHeight="1" x14ac:dyDescent="0.25">
      <c r="A21" s="11" t="s">
        <v>38</v>
      </c>
      <c r="B21" s="161">
        <v>12.7</v>
      </c>
      <c r="C21" s="162"/>
      <c r="D21" s="161">
        <v>12.5</v>
      </c>
      <c r="E21" s="162"/>
      <c r="F21" s="161">
        <v>12.4</v>
      </c>
      <c r="G21" s="162"/>
      <c r="H21" s="161">
        <v>13</v>
      </c>
      <c r="I21" s="162"/>
      <c r="J21" s="161">
        <v>13.5</v>
      </c>
      <c r="K21" s="162"/>
      <c r="L21" s="161">
        <v>14</v>
      </c>
      <c r="M21" s="162"/>
      <c r="N21" s="161">
        <v>12.6</v>
      </c>
      <c r="O21" s="162"/>
      <c r="P21" s="161">
        <v>14.1</v>
      </c>
      <c r="Q21" s="162"/>
      <c r="R21" s="161">
        <v>12.3</v>
      </c>
      <c r="S21" s="162"/>
      <c r="U21" s="3"/>
    </row>
    <row r="22" spans="1:39" s="1" customFormat="1" ht="18" customHeight="1" x14ac:dyDescent="0.25">
      <c r="A22" s="11" t="s">
        <v>39</v>
      </c>
      <c r="B22" s="156">
        <f>B23*B24/100</f>
        <v>1.6187499999999999</v>
      </c>
      <c r="C22" s="156"/>
      <c r="D22" s="156">
        <f>D23*D24/100</f>
        <v>1.6134999999999999</v>
      </c>
      <c r="E22" s="156"/>
      <c r="F22" s="156">
        <f>F23*F24/100</f>
        <v>1.617</v>
      </c>
      <c r="G22" s="156"/>
      <c r="H22" s="156">
        <f>H23*H24/100</f>
        <v>1.6274999999999999</v>
      </c>
      <c r="I22" s="156"/>
      <c r="J22" s="156">
        <f>J23*J24/100</f>
        <v>1.6537500000000001</v>
      </c>
      <c r="K22" s="156"/>
      <c r="L22" s="156">
        <f>L23*L24/100</f>
        <v>1.6572499999999999</v>
      </c>
      <c r="M22" s="156"/>
      <c r="N22" s="156">
        <f>N23*N24/100</f>
        <v>1.65025</v>
      </c>
      <c r="O22" s="156"/>
      <c r="P22" s="156">
        <f>P23*P24/100</f>
        <v>1.6677500000000001</v>
      </c>
      <c r="Q22" s="156"/>
      <c r="R22" s="156">
        <f>R23*R24/100</f>
        <v>1.66425</v>
      </c>
      <c r="S22" s="156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</row>
    <row r="23" spans="1:39" ht="18" customHeight="1" x14ac:dyDescent="0.25">
      <c r="A23" s="9" t="s">
        <v>40</v>
      </c>
      <c r="B23" s="75">
        <f>$W$2</f>
        <v>1.75</v>
      </c>
      <c r="C23" s="75"/>
      <c r="D23" s="75">
        <f>$W$2</f>
        <v>1.75</v>
      </c>
      <c r="E23" s="75"/>
      <c r="F23" s="75">
        <f>$W$2</f>
        <v>1.75</v>
      </c>
      <c r="G23" s="75"/>
      <c r="H23" s="75">
        <f>$W$2</f>
        <v>1.75</v>
      </c>
      <c r="I23" s="75"/>
      <c r="J23" s="75">
        <f>$W$2</f>
        <v>1.75</v>
      </c>
      <c r="K23" s="75"/>
      <c r="L23" s="75">
        <f>$W$2</f>
        <v>1.75</v>
      </c>
      <c r="M23" s="75"/>
      <c r="N23" s="75">
        <f>$W$2</f>
        <v>1.75</v>
      </c>
      <c r="O23" s="75"/>
      <c r="P23" s="75">
        <f>$W$2</f>
        <v>1.75</v>
      </c>
      <c r="Q23" s="75"/>
      <c r="R23" s="75">
        <f>$W$2</f>
        <v>1.75</v>
      </c>
      <c r="S23" s="75"/>
    </row>
    <row r="24" spans="1:39" s="2" customFormat="1" ht="18" customHeight="1" x14ac:dyDescent="0.25">
      <c r="A24" s="12" t="s">
        <v>41</v>
      </c>
      <c r="B24" s="76">
        <v>92.5</v>
      </c>
      <c r="C24" s="76"/>
      <c r="D24" s="76">
        <v>92.2</v>
      </c>
      <c r="E24" s="76"/>
      <c r="F24" s="76">
        <v>92.4</v>
      </c>
      <c r="G24" s="76"/>
      <c r="H24" s="76">
        <v>93</v>
      </c>
      <c r="I24" s="76"/>
      <c r="J24" s="76">
        <v>94.5</v>
      </c>
      <c r="K24" s="76"/>
      <c r="L24" s="76">
        <v>94.7</v>
      </c>
      <c r="M24" s="76"/>
      <c r="N24" s="76">
        <v>94.3</v>
      </c>
      <c r="O24" s="76"/>
      <c r="P24" s="76">
        <v>95.3</v>
      </c>
      <c r="Q24" s="76"/>
      <c r="R24" s="76">
        <v>95.1</v>
      </c>
      <c r="S24" s="76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</row>
    <row r="25" spans="1:39" ht="18" customHeight="1" x14ac:dyDescent="0.25">
      <c r="A25" s="9" t="s">
        <v>42</v>
      </c>
      <c r="B25" s="53" t="s">
        <v>43</v>
      </c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7"/>
    </row>
    <row r="26" spans="1:39" ht="18" customHeight="1" x14ac:dyDescent="0.25">
      <c r="A26" s="9" t="s">
        <v>44</v>
      </c>
      <c r="B26" s="53" t="s">
        <v>45</v>
      </c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7"/>
    </row>
    <row r="27" spans="1:39" ht="18" customHeight="1" x14ac:dyDescent="0.25">
      <c r="A27" s="9" t="s">
        <v>46</v>
      </c>
      <c r="B27" s="53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7"/>
    </row>
    <row r="28" spans="1:39" ht="19" customHeight="1" x14ac:dyDescent="0.25">
      <c r="A28" s="13" t="s">
        <v>47</v>
      </c>
      <c r="F28" s="5" t="s">
        <v>48</v>
      </c>
      <c r="K28" s="77" t="s">
        <v>49</v>
      </c>
      <c r="L28" s="77"/>
    </row>
    <row r="29" spans="1:39" ht="19" customHeight="1" x14ac:dyDescent="0.25"/>
    <row r="30" spans="1:39" ht="19" customHeight="1" x14ac:dyDescent="0.25">
      <c r="J30" s="3" t="s">
        <v>63</v>
      </c>
    </row>
    <row r="31" spans="1:39" ht="19" customHeight="1" x14ac:dyDescent="0.25"/>
    <row r="32" spans="1:39" ht="19" customHeight="1" x14ac:dyDescent="0.25"/>
    <row r="33" spans="2:19" ht="19" customHeight="1" x14ac:dyDescent="0.25">
      <c r="B33" s="69">
        <v>8229</v>
      </c>
      <c r="C33" s="69"/>
      <c r="D33" s="69">
        <f ca="1">B33-RANDBETWEEN(0,20)</f>
        <v>8228</v>
      </c>
      <c r="E33" s="69"/>
      <c r="F33" s="69">
        <f ca="1">D33-RANDBETWEEN(0,20)</f>
        <v>8208</v>
      </c>
      <c r="G33" s="69"/>
      <c r="H33" s="69">
        <f ca="1">F33-RANDBETWEEN(0,20)</f>
        <v>8188</v>
      </c>
      <c r="I33" s="69"/>
      <c r="J33" s="69">
        <f ca="1">H33-RANDBETWEEN(0,20)</f>
        <v>8180</v>
      </c>
      <c r="K33" s="69"/>
      <c r="L33" s="69">
        <f ca="1">J33-RANDBETWEEN(0,20)</f>
        <v>8177</v>
      </c>
      <c r="M33" s="69"/>
      <c r="N33" s="69">
        <f ca="1">L33-RANDBETWEEN(0,20)</f>
        <v>8176</v>
      </c>
      <c r="O33" s="69"/>
      <c r="P33" s="69">
        <f ca="1">N33-RANDBETWEEN(0,20)</f>
        <v>8160</v>
      </c>
      <c r="Q33" s="69"/>
      <c r="R33" s="69">
        <f ca="1">P33-RANDBETWEEN(0,20)</f>
        <v>8143</v>
      </c>
      <c r="S33" s="69"/>
    </row>
    <row r="34" spans="2:19" ht="19" customHeight="1" x14ac:dyDescent="0.25">
      <c r="B34" s="155">
        <f ca="1">RANDBETWEEN(2000,2468)</f>
        <v>2227</v>
      </c>
      <c r="C34" s="155"/>
      <c r="D34" s="155">
        <f t="shared" ref="D34" ca="1" si="1">RANDBETWEEN(2000,2468)</f>
        <v>2037</v>
      </c>
      <c r="E34" s="155"/>
      <c r="F34" s="155">
        <f t="shared" ref="F34" ca="1" si="2">RANDBETWEEN(2000,2468)</f>
        <v>2229</v>
      </c>
      <c r="G34" s="155"/>
      <c r="H34" s="155">
        <f t="shared" ref="H34" ca="1" si="3">RANDBETWEEN(2000,2468)</f>
        <v>2078</v>
      </c>
      <c r="I34" s="155"/>
      <c r="J34" s="155">
        <f t="shared" ref="J34" ca="1" si="4">RANDBETWEEN(2000,2468)</f>
        <v>2235</v>
      </c>
      <c r="K34" s="155"/>
      <c r="L34" s="155">
        <f t="shared" ref="L34" ca="1" si="5">RANDBETWEEN(2000,2468)</f>
        <v>2152</v>
      </c>
      <c r="M34" s="155"/>
      <c r="N34" s="155">
        <f t="shared" ref="N34" ca="1" si="6">RANDBETWEEN(2000,2468)</f>
        <v>2272</v>
      </c>
      <c r="O34" s="155"/>
      <c r="P34" s="155">
        <f t="shared" ref="P34" ca="1" si="7">RANDBETWEEN(2000,2468)</f>
        <v>2296</v>
      </c>
      <c r="Q34" s="155"/>
      <c r="R34" s="155">
        <f t="shared" ref="R34" ca="1" si="8">RANDBETWEEN(2000,2468)</f>
        <v>2113</v>
      </c>
      <c r="S34" s="155"/>
    </row>
    <row r="35" spans="2:19" ht="19" customHeight="1" x14ac:dyDescent="0.25">
      <c r="B35" s="163">
        <f ca="1">RANDBETWEEN(122,150)/10</f>
        <v>14.2</v>
      </c>
      <c r="C35" s="164"/>
      <c r="D35" s="163">
        <f t="shared" ref="D35" ca="1" si="9">RANDBETWEEN(122,150)/10</f>
        <v>14.8</v>
      </c>
      <c r="E35" s="164"/>
      <c r="F35" s="163">
        <f t="shared" ref="F35" ca="1" si="10">RANDBETWEEN(122,150)/10</f>
        <v>13.8</v>
      </c>
      <c r="G35" s="164"/>
      <c r="H35" s="163">
        <f t="shared" ref="H35" ca="1" si="11">RANDBETWEEN(122,150)/10</f>
        <v>13.2</v>
      </c>
      <c r="I35" s="164"/>
      <c r="J35" s="163">
        <f t="shared" ref="J35" ca="1" si="12">RANDBETWEEN(122,150)/10</f>
        <v>13.9</v>
      </c>
      <c r="K35" s="164"/>
      <c r="L35" s="163">
        <f t="shared" ref="L35" ca="1" si="13">RANDBETWEEN(122,150)/10</f>
        <v>12.9</v>
      </c>
      <c r="M35" s="164"/>
      <c r="N35" s="163">
        <f t="shared" ref="N35" ca="1" si="14">RANDBETWEEN(122,150)/10</f>
        <v>13.4</v>
      </c>
      <c r="O35" s="164"/>
      <c r="P35" s="163">
        <f t="shared" ref="P35" ca="1" si="15">RANDBETWEEN(122,150)/10</f>
        <v>12.6</v>
      </c>
      <c r="Q35" s="164"/>
      <c r="R35" s="163">
        <f t="shared" ref="R35" ca="1" si="16">RANDBETWEEN(122,150)/10</f>
        <v>14.2</v>
      </c>
      <c r="S35" s="164"/>
    </row>
    <row r="36" spans="2:19" ht="19" customHeight="1" x14ac:dyDescent="0.25">
      <c r="B36" s="76">
        <f ca="1">RANDBETWEEN(910,936)/10</f>
        <v>92.1</v>
      </c>
      <c r="C36" s="76"/>
      <c r="D36" s="76">
        <f t="shared" ref="D36" ca="1" si="17">RANDBETWEEN(910,936)/10</f>
        <v>91.8</v>
      </c>
      <c r="E36" s="76"/>
      <c r="F36" s="76">
        <f t="shared" ref="F36" ca="1" si="18">RANDBETWEEN(910,936)/10</f>
        <v>93.6</v>
      </c>
      <c r="G36" s="76"/>
      <c r="H36" s="76">
        <f ca="1">RANDBETWEEN(930,956)/10</f>
        <v>93.7</v>
      </c>
      <c r="I36" s="76"/>
      <c r="J36" s="76">
        <f t="shared" ref="J36" ca="1" si="19">RANDBETWEEN(930,956)/10</f>
        <v>95.2</v>
      </c>
      <c r="K36" s="76"/>
      <c r="L36" s="76">
        <f t="shared" ref="L36" ca="1" si="20">RANDBETWEEN(930,956)/10</f>
        <v>94.8</v>
      </c>
      <c r="M36" s="76"/>
      <c r="N36" s="76">
        <f t="shared" ref="N36" ca="1" si="21">RANDBETWEEN(930,956)/10</f>
        <v>93.3</v>
      </c>
      <c r="O36" s="76"/>
      <c r="P36" s="76">
        <f t="shared" ref="P36" ca="1" si="22">RANDBETWEEN(930,956)/10</f>
        <v>95.5</v>
      </c>
      <c r="Q36" s="76"/>
      <c r="R36" s="76">
        <f t="shared" ref="R36" ca="1" si="23">RANDBETWEEN(930,956)/10</f>
        <v>94.7</v>
      </c>
      <c r="S36" s="76"/>
    </row>
    <row r="37" spans="2:19" ht="19" customHeight="1" x14ac:dyDescent="0.25"/>
    <row r="38" spans="2:19" ht="19" customHeight="1" x14ac:dyDescent="0.25"/>
    <row r="39" spans="2:19" ht="19" customHeight="1" x14ac:dyDescent="0.25"/>
    <row r="40" spans="2:19" ht="19" customHeight="1" x14ac:dyDescent="0.25"/>
    <row r="43" spans="2:19" ht="26.25" customHeight="1" x14ac:dyDescent="0.25"/>
  </sheetData>
  <mergeCells count="221">
    <mergeCell ref="B36:C36"/>
    <mergeCell ref="D36:E36"/>
    <mergeCell ref="F36:G36"/>
    <mergeCell ref="H36:I36"/>
    <mergeCell ref="J36:K36"/>
    <mergeCell ref="L36:M36"/>
    <mergeCell ref="N36:O36"/>
    <mergeCell ref="P36:Q36"/>
    <mergeCell ref="R36:S36"/>
    <mergeCell ref="B35:C35"/>
    <mergeCell ref="D35:E35"/>
    <mergeCell ref="F35:G35"/>
    <mergeCell ref="H35:I35"/>
    <mergeCell ref="J35:K35"/>
    <mergeCell ref="L35:M35"/>
    <mergeCell ref="N35:O35"/>
    <mergeCell ref="P35:Q35"/>
    <mergeCell ref="R35:S35"/>
    <mergeCell ref="B34:C34"/>
    <mergeCell ref="D34:E34"/>
    <mergeCell ref="F34:G34"/>
    <mergeCell ref="H34:I34"/>
    <mergeCell ref="J34:K34"/>
    <mergeCell ref="L34:M34"/>
    <mergeCell ref="N34:O34"/>
    <mergeCell ref="P34:Q34"/>
    <mergeCell ref="R34:S34"/>
    <mergeCell ref="B25:S25"/>
    <mergeCell ref="B26:S26"/>
    <mergeCell ref="B27:S27"/>
    <mergeCell ref="K28:L28"/>
    <mergeCell ref="B33:C33"/>
    <mergeCell ref="D33:E33"/>
    <mergeCell ref="F33:G33"/>
    <mergeCell ref="H33:I33"/>
    <mergeCell ref="J33:K33"/>
    <mergeCell ref="L33:M33"/>
    <mergeCell ref="N33:O33"/>
    <mergeCell ref="P33:Q33"/>
    <mergeCell ref="R33:S33"/>
    <mergeCell ref="B24:C24"/>
    <mergeCell ref="D24:E24"/>
    <mergeCell ref="F24:G24"/>
    <mergeCell ref="H24:I24"/>
    <mergeCell ref="J24:K24"/>
    <mergeCell ref="L24:M24"/>
    <mergeCell ref="N24:O24"/>
    <mergeCell ref="P24:Q24"/>
    <mergeCell ref="R24:S24"/>
    <mergeCell ref="B23:C23"/>
    <mergeCell ref="D23:E23"/>
    <mergeCell ref="F23:G23"/>
    <mergeCell ref="H23:I23"/>
    <mergeCell ref="J23:K23"/>
    <mergeCell ref="L23:M23"/>
    <mergeCell ref="N23:O23"/>
    <mergeCell ref="P23:Q23"/>
    <mergeCell ref="R23:S23"/>
    <mergeCell ref="B22:C22"/>
    <mergeCell ref="D22:E22"/>
    <mergeCell ref="F22:G22"/>
    <mergeCell ref="H22:I22"/>
    <mergeCell ref="J22:K22"/>
    <mergeCell ref="L22:M22"/>
    <mergeCell ref="N22:O22"/>
    <mergeCell ref="P22:Q22"/>
    <mergeCell ref="R22:S22"/>
    <mergeCell ref="B21:C21"/>
    <mergeCell ref="D21:E21"/>
    <mergeCell ref="F21:G21"/>
    <mergeCell ref="H21:I21"/>
    <mergeCell ref="J21:K21"/>
    <mergeCell ref="L21:M21"/>
    <mergeCell ref="N21:O21"/>
    <mergeCell ref="P21:Q21"/>
    <mergeCell ref="R21:S21"/>
    <mergeCell ref="B20:C20"/>
    <mergeCell ref="D20:E20"/>
    <mergeCell ref="F20:G20"/>
    <mergeCell ref="H20:I20"/>
    <mergeCell ref="J20:K20"/>
    <mergeCell ref="L20:M20"/>
    <mergeCell ref="N20:O20"/>
    <mergeCell ref="P20:Q20"/>
    <mergeCell ref="R20:S20"/>
    <mergeCell ref="B19:C19"/>
    <mergeCell ref="D19:E19"/>
    <mergeCell ref="F19:G19"/>
    <mergeCell ref="H19:I19"/>
    <mergeCell ref="J19:K19"/>
    <mergeCell ref="L19:M19"/>
    <mergeCell ref="N19:O19"/>
    <mergeCell ref="P19:Q19"/>
    <mergeCell ref="R19:S19"/>
    <mergeCell ref="B18:C18"/>
    <mergeCell ref="D18:E18"/>
    <mergeCell ref="F18:G18"/>
    <mergeCell ref="H18:I18"/>
    <mergeCell ref="J18:K18"/>
    <mergeCell ref="L18:M18"/>
    <mergeCell ref="N18:O18"/>
    <mergeCell ref="P18:Q18"/>
    <mergeCell ref="R18:S18"/>
    <mergeCell ref="B17:C17"/>
    <mergeCell ref="D17:E17"/>
    <mergeCell ref="F17:G17"/>
    <mergeCell ref="H17:I17"/>
    <mergeCell ref="J17:K17"/>
    <mergeCell ref="L17:M17"/>
    <mergeCell ref="N17:O17"/>
    <mergeCell ref="P17:Q17"/>
    <mergeCell ref="R17:S17"/>
    <mergeCell ref="B16:C16"/>
    <mergeCell ref="D16:E16"/>
    <mergeCell ref="F16:G16"/>
    <mergeCell ref="H16:I16"/>
    <mergeCell ref="J16:K16"/>
    <mergeCell ref="L16:M16"/>
    <mergeCell ref="N16:O16"/>
    <mergeCell ref="P16:Q16"/>
    <mergeCell ref="R16:S16"/>
    <mergeCell ref="B15:C15"/>
    <mergeCell ref="D15:E15"/>
    <mergeCell ref="F15:G15"/>
    <mergeCell ref="H15:I15"/>
    <mergeCell ref="J15:K15"/>
    <mergeCell ref="L15:M15"/>
    <mergeCell ref="N15:O15"/>
    <mergeCell ref="P15:Q15"/>
    <mergeCell ref="R15:S15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B13:C13"/>
    <mergeCell ref="D13:E13"/>
    <mergeCell ref="F13:G13"/>
    <mergeCell ref="H13:I13"/>
    <mergeCell ref="J13:K13"/>
    <mergeCell ref="L13:M13"/>
    <mergeCell ref="N13:O13"/>
    <mergeCell ref="P13:Q13"/>
    <mergeCell ref="R13:S13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B7:C7"/>
    <mergeCell ref="D7:E7"/>
    <mergeCell ref="F7:G7"/>
    <mergeCell ref="H7:I7"/>
    <mergeCell ref="J7:K7"/>
    <mergeCell ref="L7:M7"/>
    <mergeCell ref="N7:O7"/>
    <mergeCell ref="P7:Q7"/>
    <mergeCell ref="R7:S7"/>
    <mergeCell ref="B5:S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A1:M1"/>
    <mergeCell ref="N1:Q1"/>
    <mergeCell ref="R1:U1"/>
    <mergeCell ref="A2:U2"/>
    <mergeCell ref="A3:C3"/>
    <mergeCell ref="D3:G3"/>
    <mergeCell ref="J3:L3"/>
    <mergeCell ref="M3:S3"/>
    <mergeCell ref="B4:S4"/>
  </mergeCells>
  <phoneticPr fontId="31" type="noConversion"/>
  <printOptions horizontalCentered="1"/>
  <pageMargins left="0.55118110236220497" right="0.55118110236220497" top="0.39370078740157499" bottom="0.196850393700787" header="0.511811023622047" footer="0.511811023622047"/>
  <pageSetup paperSize="9" orientation="landscape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D9086-70C4-4EDB-B78C-1B541C390EB3}">
  <dimension ref="A1:AM44"/>
  <sheetViews>
    <sheetView tabSelected="1" topLeftCell="A5" workbookViewId="0">
      <selection activeCell="K31" sqref="K31"/>
    </sheetView>
  </sheetViews>
  <sheetFormatPr defaultColWidth="9" defaultRowHeight="15" x14ac:dyDescent="0.25"/>
  <cols>
    <col min="1" max="1" width="24.58203125" style="3" customWidth="1"/>
    <col min="2" max="19" width="5.58203125" style="3" customWidth="1"/>
    <col min="20" max="21" width="9" style="3"/>
    <col min="22" max="22" width="10.4140625" style="3" customWidth="1"/>
    <col min="23" max="16384" width="9" style="3"/>
  </cols>
  <sheetData>
    <row r="1" spans="1:24" ht="17.5" x14ac:dyDescent="0.25">
      <c r="A1" s="39" t="s">
        <v>59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40" t="s">
        <v>1</v>
      </c>
      <c r="O1" s="40"/>
      <c r="P1" s="40"/>
      <c r="Q1" s="40"/>
      <c r="R1" s="40"/>
      <c r="S1" s="40"/>
      <c r="T1" s="40"/>
      <c r="U1" s="40"/>
    </row>
    <row r="2" spans="1:24" ht="23" x14ac:dyDescent="0.25">
      <c r="A2" s="41" t="s">
        <v>2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" t="s">
        <v>65</v>
      </c>
      <c r="W2" s="14">
        <v>1.75</v>
      </c>
    </row>
    <row r="3" spans="1:24" ht="19" customHeight="1" x14ac:dyDescent="0.25">
      <c r="A3" s="42" t="s">
        <v>60</v>
      </c>
      <c r="B3" s="42"/>
      <c r="C3" s="42"/>
      <c r="D3" s="42"/>
      <c r="E3" s="42"/>
      <c r="F3" s="42"/>
      <c r="G3" s="42"/>
      <c r="H3" s="5" t="s">
        <v>4</v>
      </c>
      <c r="J3" s="43" t="s">
        <v>5</v>
      </c>
      <c r="K3" s="43"/>
      <c r="L3" s="43"/>
      <c r="M3" s="44" t="s">
        <v>61</v>
      </c>
      <c r="N3" s="44"/>
      <c r="O3" s="44"/>
      <c r="P3" s="44"/>
      <c r="Q3" s="44"/>
      <c r="R3" s="44"/>
      <c r="S3" s="44"/>
      <c r="V3" s="15">
        <v>1</v>
      </c>
      <c r="W3" s="15">
        <v>380</v>
      </c>
      <c r="X3" s="7">
        <v>3</v>
      </c>
    </row>
    <row r="4" spans="1:24" ht="19" customHeight="1" x14ac:dyDescent="0.25">
      <c r="A4" s="9" t="s">
        <v>7</v>
      </c>
      <c r="B4" s="45" t="s">
        <v>72</v>
      </c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7"/>
      <c r="V4" s="15">
        <v>2</v>
      </c>
      <c r="W4" s="15">
        <v>375</v>
      </c>
      <c r="X4" s="7">
        <v>2</v>
      </c>
    </row>
    <row r="5" spans="1:24" ht="19" customHeight="1" x14ac:dyDescent="0.25">
      <c r="A5" s="9" t="s">
        <v>9</v>
      </c>
      <c r="B5" s="48"/>
      <c r="C5" s="49"/>
      <c r="D5" s="49"/>
      <c r="E5" s="49"/>
      <c r="F5" s="49"/>
      <c r="G5" s="49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7"/>
      <c r="V5" s="15">
        <v>3</v>
      </c>
      <c r="W5" s="15">
        <v>371</v>
      </c>
      <c r="X5" s="7">
        <v>0</v>
      </c>
    </row>
    <row r="6" spans="1:24" ht="18" customHeight="1" x14ac:dyDescent="0.25">
      <c r="A6" s="16" t="s">
        <v>11</v>
      </c>
      <c r="B6" s="50" t="s">
        <v>67</v>
      </c>
      <c r="C6" s="51"/>
      <c r="D6" s="51"/>
      <c r="E6" s="51"/>
      <c r="F6" s="51"/>
      <c r="G6" s="52"/>
      <c r="H6" s="51" t="s">
        <v>68</v>
      </c>
      <c r="I6" s="51"/>
      <c r="J6" s="51"/>
      <c r="K6" s="51"/>
      <c r="L6" s="51"/>
      <c r="M6" s="52"/>
      <c r="N6" s="53" t="s">
        <v>69</v>
      </c>
      <c r="O6" s="46"/>
      <c r="P6" s="46"/>
      <c r="Q6" s="46"/>
      <c r="R6" s="46"/>
      <c r="S6" s="47"/>
      <c r="U6" s="78"/>
      <c r="V6" s="15">
        <v>4</v>
      </c>
      <c r="W6" s="15">
        <v>364</v>
      </c>
      <c r="X6" s="7">
        <v>1</v>
      </c>
    </row>
    <row r="7" spans="1:24" ht="18" customHeight="1" x14ac:dyDescent="0.25">
      <c r="A7" s="9" t="s">
        <v>70</v>
      </c>
      <c r="B7" s="54" t="s">
        <v>73</v>
      </c>
      <c r="C7" s="55"/>
      <c r="D7" s="55"/>
      <c r="E7" s="55"/>
      <c r="F7" s="55"/>
      <c r="G7" s="56"/>
      <c r="H7" s="54" t="s">
        <v>73</v>
      </c>
      <c r="I7" s="55"/>
      <c r="J7" s="55"/>
      <c r="K7" s="55"/>
      <c r="L7" s="55"/>
      <c r="M7" s="56"/>
      <c r="N7" s="54" t="s">
        <v>73</v>
      </c>
      <c r="O7" s="55"/>
      <c r="P7" s="55"/>
      <c r="Q7" s="55"/>
      <c r="R7" s="55"/>
      <c r="S7" s="56"/>
      <c r="U7" s="78"/>
      <c r="V7" s="15">
        <v>5</v>
      </c>
      <c r="W7" s="15">
        <v>372</v>
      </c>
      <c r="X7" s="7">
        <v>4</v>
      </c>
    </row>
    <row r="8" spans="1:24" ht="18" customHeight="1" x14ac:dyDescent="0.25">
      <c r="A8" s="9" t="s">
        <v>24</v>
      </c>
      <c r="B8">
        <v>1</v>
      </c>
      <c r="C8">
        <v>2</v>
      </c>
      <c r="D8">
        <v>3</v>
      </c>
      <c r="E8">
        <v>4</v>
      </c>
      <c r="F8">
        <v>5</v>
      </c>
      <c r="G8">
        <v>6</v>
      </c>
      <c r="H8">
        <v>7</v>
      </c>
      <c r="I8">
        <v>8</v>
      </c>
      <c r="J8">
        <v>9</v>
      </c>
      <c r="K8"/>
      <c r="L8">
        <v>6</v>
      </c>
      <c r="M8"/>
      <c r="N8">
        <v>7</v>
      </c>
      <c r="O8"/>
      <c r="P8">
        <v>8</v>
      </c>
      <c r="Q8"/>
      <c r="R8">
        <v>9</v>
      </c>
      <c r="S8"/>
      <c r="U8" s="78"/>
      <c r="V8" s="15">
        <v>6</v>
      </c>
      <c r="W8" s="15">
        <v>368</v>
      </c>
      <c r="X8" s="7">
        <v>2</v>
      </c>
    </row>
    <row r="9" spans="1:24" ht="18" customHeight="1" x14ac:dyDescent="0.25">
      <c r="A9" s="9" t="s">
        <v>25</v>
      </c>
      <c r="B9">
        <v>8168</v>
      </c>
      <c r="C9">
        <v>8168</v>
      </c>
      <c r="D9">
        <v>8168</v>
      </c>
      <c r="E9">
        <v>8168</v>
      </c>
      <c r="F9">
        <v>8168</v>
      </c>
      <c r="G9">
        <v>8168</v>
      </c>
      <c r="H9">
        <v>8168</v>
      </c>
      <c r="I9">
        <v>8168</v>
      </c>
      <c r="J9">
        <v>8168</v>
      </c>
      <c r="K9"/>
      <c r="L9">
        <v>8196</v>
      </c>
      <c r="M9"/>
      <c r="N9">
        <v>8176</v>
      </c>
      <c r="O9"/>
      <c r="P9">
        <v>8175</v>
      </c>
      <c r="Q9"/>
      <c r="R9">
        <v>8175</v>
      </c>
      <c r="S9"/>
      <c r="U9" s="78"/>
      <c r="V9" s="15">
        <v>7</v>
      </c>
      <c r="W9" s="15">
        <v>388</v>
      </c>
      <c r="X9" s="7">
        <v>3</v>
      </c>
    </row>
    <row r="10" spans="1:24" ht="18" customHeight="1" x14ac:dyDescent="0.25">
      <c r="A10" s="9" t="s">
        <v>26</v>
      </c>
      <c r="B10">
        <v>5915</v>
      </c>
      <c r="C10">
        <v>5877</v>
      </c>
      <c r="D10">
        <v>5977</v>
      </c>
      <c r="E10">
        <v>6076</v>
      </c>
      <c r="F10">
        <v>5802</v>
      </c>
      <c r="G10">
        <v>5864</v>
      </c>
      <c r="H10">
        <v>5619</v>
      </c>
      <c r="I10">
        <v>5743</v>
      </c>
      <c r="J10">
        <v>5783</v>
      </c>
      <c r="K10"/>
      <c r="L10">
        <v>5955</v>
      </c>
      <c r="M10"/>
      <c r="N10">
        <v>5818</v>
      </c>
      <c r="O10"/>
      <c r="P10">
        <v>5949</v>
      </c>
      <c r="Q10"/>
      <c r="R10">
        <v>5812</v>
      </c>
      <c r="S10"/>
      <c r="U10" s="78"/>
      <c r="V10" s="15">
        <v>8</v>
      </c>
      <c r="W10" s="15">
        <v>359</v>
      </c>
      <c r="X10" s="7">
        <v>5</v>
      </c>
    </row>
    <row r="11" spans="1:24" ht="26.25" customHeight="1" x14ac:dyDescent="0.25">
      <c r="A11" s="10" t="s">
        <v>27</v>
      </c>
      <c r="B11">
        <v>771</v>
      </c>
      <c r="C11">
        <v>757</v>
      </c>
      <c r="D11">
        <v>774</v>
      </c>
      <c r="E11">
        <v>743</v>
      </c>
      <c r="F11">
        <v>758</v>
      </c>
      <c r="G11">
        <v>756</v>
      </c>
      <c r="H11">
        <v>757</v>
      </c>
      <c r="I11">
        <v>752</v>
      </c>
      <c r="J11">
        <v>745</v>
      </c>
      <c r="K11"/>
      <c r="L11">
        <v>730</v>
      </c>
      <c r="M11"/>
      <c r="N11">
        <v>730</v>
      </c>
      <c r="O11"/>
      <c r="P11">
        <v>730</v>
      </c>
      <c r="Q11"/>
      <c r="R11">
        <v>730</v>
      </c>
      <c r="S11"/>
      <c r="U11" s="78"/>
      <c r="V11" s="15">
        <v>9</v>
      </c>
      <c r="W11" s="15">
        <v>376</v>
      </c>
      <c r="X11" s="7">
        <v>0</v>
      </c>
    </row>
    <row r="12" spans="1:24" ht="18" customHeight="1" x14ac:dyDescent="0.25">
      <c r="A12" s="9" t="s">
        <v>28</v>
      </c>
      <c r="B12">
        <f t="shared" ref="B12:J12" si="0">B9-B10-B11</f>
        <v>1482</v>
      </c>
      <c r="C12">
        <f t="shared" si="0"/>
        <v>1534</v>
      </c>
      <c r="D12">
        <f t="shared" si="0"/>
        <v>1417</v>
      </c>
      <c r="E12">
        <f t="shared" si="0"/>
        <v>1349</v>
      </c>
      <c r="F12">
        <f t="shared" si="0"/>
        <v>1608</v>
      </c>
      <c r="G12">
        <f t="shared" si="0"/>
        <v>1548</v>
      </c>
      <c r="H12">
        <f t="shared" si="0"/>
        <v>1792</v>
      </c>
      <c r="I12">
        <f t="shared" si="0"/>
        <v>1673</v>
      </c>
      <c r="J12">
        <f t="shared" si="0"/>
        <v>1640</v>
      </c>
      <c r="K12"/>
      <c r="L12">
        <f t="shared" ref="H12:L12" si="1">L9-L10-L11</f>
        <v>1511</v>
      </c>
      <c r="M12"/>
      <c r="N12">
        <f t="shared" ref="N12:R12" si="2">N9-N10-N11</f>
        <v>1628</v>
      </c>
      <c r="O12"/>
      <c r="P12">
        <f t="shared" si="2"/>
        <v>1496</v>
      </c>
      <c r="Q12"/>
      <c r="R12">
        <f t="shared" si="2"/>
        <v>1633</v>
      </c>
      <c r="S12"/>
      <c r="U12" s="78"/>
      <c r="V12" s="15">
        <v>10</v>
      </c>
      <c r="W12" s="15">
        <v>377</v>
      </c>
      <c r="X12" s="7">
        <v>3</v>
      </c>
    </row>
    <row r="13" spans="1:24" ht="18" customHeight="1" x14ac:dyDescent="0.25">
      <c r="A13" s="9" t="s">
        <v>29</v>
      </c>
      <c r="B13">
        <v>1.41</v>
      </c>
      <c r="C13">
        <v>1.41</v>
      </c>
      <c r="D13">
        <v>1.41</v>
      </c>
      <c r="E13">
        <v>1.41</v>
      </c>
      <c r="F13">
        <v>1.41</v>
      </c>
      <c r="G13">
        <v>1.41</v>
      </c>
      <c r="H13">
        <v>1.41</v>
      </c>
      <c r="I13">
        <v>1.41</v>
      </c>
      <c r="J13">
        <v>1.41</v>
      </c>
      <c r="K13"/>
      <c r="L13">
        <v>1.41</v>
      </c>
      <c r="M13"/>
      <c r="N13">
        <v>1.41</v>
      </c>
      <c r="O13"/>
      <c r="P13">
        <v>1.41</v>
      </c>
      <c r="Q13"/>
      <c r="R13">
        <v>1.41</v>
      </c>
      <c r="S13"/>
      <c r="U13" s="78"/>
      <c r="V13" s="15">
        <v>11</v>
      </c>
      <c r="W13" s="15">
        <v>368</v>
      </c>
      <c r="X13" s="7">
        <v>5</v>
      </c>
    </row>
    <row r="14" spans="1:24" ht="18" customHeight="1" x14ac:dyDescent="0.25">
      <c r="A14" s="9" t="s">
        <v>31</v>
      </c>
      <c r="B14" cm="1">
        <f t="array" ref="B14">foursix(B12/B13,0)</f>
        <v>1051</v>
      </c>
      <c r="C14" cm="1">
        <f t="array" ref="C14">foursix(C12/C13,0)</f>
        <v>1088</v>
      </c>
      <c r="D14" cm="1">
        <f t="array" ref="D14">foursix(D12/D13,0)</f>
        <v>1005</v>
      </c>
      <c r="E14" cm="1">
        <f t="array" ref="E14">foursix(E12/E13,0)</f>
        <v>957</v>
      </c>
      <c r="F14" cm="1">
        <f t="array" ref="F14">foursix(F12/F13,0)</f>
        <v>1140</v>
      </c>
      <c r="G14" cm="1">
        <f t="array" ref="G14">foursix(G12/G13,0)</f>
        <v>1098</v>
      </c>
      <c r="H14" cm="1">
        <f t="array" ref="H14">foursix(H12/H13,0)</f>
        <v>1271</v>
      </c>
      <c r="I14" cm="1">
        <f t="array" ref="I14">foursix(I12/I13,0)</f>
        <v>1187</v>
      </c>
      <c r="J14" cm="1">
        <f t="array" ref="J14">foursix(J12/J13,0)</f>
        <v>1163</v>
      </c>
      <c r="K14"/>
      <c r="L14" cm="1">
        <f t="array" ref="L14">foursix(L12/L13,0)</f>
        <v>1072</v>
      </c>
      <c r="M14"/>
      <c r="N14" cm="1">
        <f t="array" ref="N14">foursix(N12/N13,0)</f>
        <v>1155</v>
      </c>
      <c r="O14"/>
      <c r="P14" cm="1">
        <f t="array" ref="P14">foursix(P12/P13,0)</f>
        <v>1061</v>
      </c>
      <c r="Q14"/>
      <c r="R14" cm="1">
        <f t="array" ref="R14">foursix(R12/R13,0)</f>
        <v>1158</v>
      </c>
      <c r="S14"/>
      <c r="U14" s="78"/>
      <c r="V14" s="15">
        <v>12</v>
      </c>
      <c r="W14" s="15">
        <v>369</v>
      </c>
      <c r="X14" s="7">
        <v>1</v>
      </c>
    </row>
    <row r="15" spans="1:24" ht="18" customHeight="1" x14ac:dyDescent="0.25">
      <c r="A15" s="9" t="s">
        <v>32</v>
      </c>
      <c r="B15">
        <v>2355</v>
      </c>
      <c r="C15">
        <v>2409</v>
      </c>
      <c r="D15">
        <v>2212</v>
      </c>
      <c r="E15">
        <v>2112</v>
      </c>
      <c r="F15">
        <v>2543</v>
      </c>
      <c r="G15">
        <v>2389</v>
      </c>
      <c r="H15">
        <v>2586</v>
      </c>
      <c r="I15">
        <v>2456</v>
      </c>
      <c r="J15">
        <v>2429</v>
      </c>
      <c r="K15"/>
      <c r="L15">
        <v>2024</v>
      </c>
      <c r="M15"/>
      <c r="N15">
        <v>2146</v>
      </c>
      <c r="O15"/>
      <c r="P15">
        <v>2019</v>
      </c>
      <c r="Q15"/>
      <c r="R15">
        <v>2164</v>
      </c>
      <c r="S15"/>
      <c r="U15" s="78"/>
      <c r="V15" s="15">
        <v>13</v>
      </c>
      <c r="W15" s="15">
        <v>367</v>
      </c>
      <c r="X15" s="7">
        <v>0</v>
      </c>
    </row>
    <row r="16" spans="1:24" ht="18" customHeight="1" x14ac:dyDescent="0.25">
      <c r="A16" s="9" t="s">
        <v>33</v>
      </c>
      <c r="B16" cm="1">
        <f t="array" ref="B16">foursix(B15/B14,2)</f>
        <v>2.2400000000000002</v>
      </c>
      <c r="C16" cm="1">
        <f t="array" ref="C16">foursix(C15/C14,2)</f>
        <v>2.21</v>
      </c>
      <c r="D16" cm="1">
        <f t="array" ref="D16">foursix(D15/D14,2)</f>
        <v>2.2000000000000002</v>
      </c>
      <c r="E16" cm="1">
        <f t="array" ref="E16">foursix(E15/E14,2)</f>
        <v>2.21</v>
      </c>
      <c r="F16" cm="1">
        <f t="array" ref="F16">foursix(F15/F14,2)</f>
        <v>2.23</v>
      </c>
      <c r="G16" cm="1">
        <f t="array" ref="G16">foursix(G15/G14,2)</f>
        <v>2.1800000000000002</v>
      </c>
      <c r="H16" cm="1">
        <f t="array" ref="H16">foursix(H15/H14,2)</f>
        <v>2.0299999999999998</v>
      </c>
      <c r="I16" cm="1">
        <f t="array" ref="I16">foursix(I15/I14,2)</f>
        <v>2.0699999999999998</v>
      </c>
      <c r="J16" cm="1">
        <f t="array" ref="J16">foursix(J15/J14,2)</f>
        <v>2.09</v>
      </c>
      <c r="K16"/>
      <c r="L16" cm="1">
        <f t="array" ref="L16">foursix(L15/L14,2)</f>
        <v>1.89</v>
      </c>
      <c r="M16"/>
      <c r="N16" cm="1">
        <f t="array" ref="N16">foursix(N15/N14,2)</f>
        <v>1.86</v>
      </c>
      <c r="O16"/>
      <c r="P16" cm="1">
        <f t="array" ref="P16">foursix(P15/P14,2)</f>
        <v>1.9</v>
      </c>
      <c r="Q16"/>
      <c r="R16" cm="1">
        <f t="array" ref="R16">foursix(R15/R14,2)</f>
        <v>1.87</v>
      </c>
      <c r="S16"/>
      <c r="U16" s="78"/>
      <c r="V16" s="15">
        <v>14</v>
      </c>
      <c r="W16" s="15">
        <v>382</v>
      </c>
      <c r="X16" s="7">
        <v>0</v>
      </c>
    </row>
    <row r="17" spans="1:39" ht="18" customHeight="1" x14ac:dyDescent="0.25">
      <c r="A17" s="9" t="s">
        <v>34</v>
      </c>
      <c r="B17">
        <v>5</v>
      </c>
      <c r="C17">
        <v>2</v>
      </c>
      <c r="D17">
        <v>15</v>
      </c>
      <c r="E17">
        <v>16</v>
      </c>
      <c r="F17">
        <v>7</v>
      </c>
      <c r="G17">
        <v>9</v>
      </c>
      <c r="H17">
        <v>6</v>
      </c>
      <c r="I17">
        <v>10</v>
      </c>
      <c r="J17">
        <v>1</v>
      </c>
      <c r="K17"/>
      <c r="L17">
        <v>4</v>
      </c>
      <c r="M17"/>
      <c r="N17">
        <v>8</v>
      </c>
      <c r="O17"/>
      <c r="P17">
        <v>9</v>
      </c>
      <c r="Q17"/>
      <c r="R17">
        <v>12</v>
      </c>
      <c r="S17"/>
      <c r="U17" s="78"/>
      <c r="V17" s="15">
        <v>15</v>
      </c>
      <c r="W17" s="15">
        <v>374</v>
      </c>
      <c r="X17" s="7">
        <v>0</v>
      </c>
    </row>
    <row r="18" spans="1:39" ht="18" customHeight="1" x14ac:dyDescent="0.25">
      <c r="A18" s="9" t="s">
        <v>35</v>
      </c>
      <c r="B18" cm="1">
        <f t="array" ref="B18">INDEX($W:$W,B17+2)</f>
        <v>372</v>
      </c>
      <c r="C18" cm="1">
        <f t="array" ref="C18">INDEX($W:$W,C17+2)</f>
        <v>375</v>
      </c>
      <c r="D18" cm="1">
        <f t="array" ref="D18">INDEX($W:$W,D17+2)</f>
        <v>374</v>
      </c>
      <c r="E18" cm="1">
        <f t="array" ref="E18">INDEX($W:$W,E17+2)</f>
        <v>0</v>
      </c>
      <c r="F18" cm="1">
        <f t="array" ref="F18">INDEX($W:$W,F17+2)</f>
        <v>388</v>
      </c>
      <c r="G18" cm="1">
        <f t="array" ref="G18">INDEX($W:$W,G17+2)</f>
        <v>376</v>
      </c>
      <c r="H18" cm="1">
        <f t="array" ref="H18">INDEX($W:$W,H17+2)</f>
        <v>368</v>
      </c>
      <c r="I18" cm="1">
        <f t="array" ref="I18">INDEX($W:$W,I17+2)</f>
        <v>377</v>
      </c>
      <c r="J18" cm="1">
        <f t="array" ref="J18">INDEX($W:$W,J17+2)</f>
        <v>380</v>
      </c>
      <c r="K18"/>
      <c r="L18" cm="1">
        <f t="array" ref="L18">INDEX($W:$W,L17+2)</f>
        <v>364</v>
      </c>
      <c r="M18"/>
      <c r="N18" cm="1">
        <f t="array" ref="N18">INDEX($W:$W,N17+2)</f>
        <v>359</v>
      </c>
      <c r="O18"/>
      <c r="P18" cm="1">
        <f t="array" ref="P18">INDEX($W:$W,P17+2)</f>
        <v>376</v>
      </c>
      <c r="Q18"/>
      <c r="R18" cm="1">
        <f t="array" ref="R18">INDEX($W:$W,R17+2)</f>
        <v>369</v>
      </c>
      <c r="S18"/>
      <c r="U18" s="78"/>
    </row>
    <row r="19" spans="1:39" ht="18" customHeight="1" x14ac:dyDescent="0.25">
      <c r="A19" s="9" t="s">
        <v>36</v>
      </c>
      <c r="B19">
        <v>2702</v>
      </c>
      <c r="C19">
        <v>2763</v>
      </c>
      <c r="D19">
        <v>2565</v>
      </c>
      <c r="E19">
        <v>2468</v>
      </c>
      <c r="F19">
        <v>2901</v>
      </c>
      <c r="G19">
        <v>2760</v>
      </c>
      <c r="H19">
        <v>2939</v>
      </c>
      <c r="I19">
        <v>2819</v>
      </c>
      <c r="J19">
        <v>2801</v>
      </c>
      <c r="K19"/>
      <c r="L19" cm="1">
        <f t="array" ref="L19">L18+L15-INDEX($X:$X,L17+2)</f>
        <v>2387</v>
      </c>
      <c r="M19"/>
      <c r="N19" cm="1">
        <f t="array" ref="N19">N18+N15-INDEX($X:$X,N17+2)</f>
        <v>2500</v>
      </c>
      <c r="O19"/>
      <c r="P19" cm="1">
        <f t="array" ref="P19">P18+P15-INDEX($X:$X,P17+2)</f>
        <v>2395</v>
      </c>
      <c r="Q19"/>
      <c r="R19" cm="1">
        <f t="array" ref="R19">R18+R15-INDEX($X:$X,R17+2)</f>
        <v>2532</v>
      </c>
      <c r="S19"/>
      <c r="U19" s="78"/>
    </row>
    <row r="20" spans="1:39" ht="18" customHeight="1" x14ac:dyDescent="0.25">
      <c r="A20" s="9" t="s">
        <v>37</v>
      </c>
      <c r="B20">
        <v>2630</v>
      </c>
      <c r="C20">
        <v>2705</v>
      </c>
      <c r="D20">
        <v>2485</v>
      </c>
      <c r="E20">
        <v>2388</v>
      </c>
      <c r="F20">
        <v>2807</v>
      </c>
      <c r="G20">
        <v>2702</v>
      </c>
      <c r="H20">
        <v>2879</v>
      </c>
      <c r="I20">
        <v>2746</v>
      </c>
      <c r="J20">
        <v>2744</v>
      </c>
      <c r="K20"/>
      <c r="L20">
        <v>2135</v>
      </c>
      <c r="M20"/>
      <c r="N20">
        <v>2261</v>
      </c>
      <c r="O20"/>
      <c r="P20">
        <v>2146</v>
      </c>
      <c r="Q20"/>
      <c r="R20">
        <v>2295</v>
      </c>
      <c r="S20"/>
    </row>
    <row r="21" spans="1:39" s="1" customFormat="1" ht="18" customHeight="1" x14ac:dyDescent="0.25">
      <c r="A21" s="11" t="s">
        <v>38</v>
      </c>
      <c r="B21" cm="1">
        <f t="array" ref="B21">foursix((B19-B20)/(B20-B18)*100,1)</f>
        <v>3.2</v>
      </c>
      <c r="C21" cm="1">
        <f t="array" ref="C21">foursix((C19-C20)/(C20-C18)*100,1)</f>
        <v>2.5</v>
      </c>
      <c r="D21" cm="1">
        <f t="array" ref="D21">foursix((D19-D20)/(D20-D18)*100,1)</f>
        <v>3.8</v>
      </c>
      <c r="E21" cm="1">
        <f t="array" ref="E21">foursix((E19-E20)/(E20-E18)*100,1)</f>
        <v>3.4</v>
      </c>
      <c r="F21" cm="1">
        <f t="array" ref="F21">foursix((F19-F20)/(F20-F18)*100,1)</f>
        <v>3.9</v>
      </c>
      <c r="G21" cm="1">
        <f t="array" ref="G21">foursix((G19-G20)/(G20-G18)*100,1)</f>
        <v>2.5</v>
      </c>
      <c r="H21" cm="1">
        <f t="array" ref="H21">foursix((H19-H20)/(H20-H18)*100,1)</f>
        <v>2.4</v>
      </c>
      <c r="I21" cm="1">
        <f t="array" ref="I21">foursix((I19-I20)/(I20-I18)*100,1)</f>
        <v>3.1</v>
      </c>
      <c r="J21" cm="1">
        <f t="array" ref="J21">foursix((J19-J20)/(J20-J18)*100,1)</f>
        <v>2.4</v>
      </c>
      <c r="K21"/>
      <c r="L21" cm="1">
        <f t="array" ref="L21">foursix((L19-L20)/(L20-L18)*100,1)</f>
        <v>14.2</v>
      </c>
      <c r="M21"/>
      <c r="N21" cm="1">
        <f t="array" ref="N21">foursix((N19-N20)/(N20-N18)*100,1)</f>
        <v>12.6</v>
      </c>
      <c r="O21"/>
      <c r="P21" cm="1">
        <f t="array" ref="P21">foursix((P19-P20)/(P20-P18)*100,1)</f>
        <v>14.1</v>
      </c>
      <c r="Q21"/>
      <c r="R21" cm="1">
        <f t="array" ref="R21">foursix((R19-R20)/(R20-R18)*100,1)</f>
        <v>12.3</v>
      </c>
      <c r="S21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</row>
    <row r="22" spans="1:39" s="1" customFormat="1" ht="18" customHeight="1" x14ac:dyDescent="0.25">
      <c r="A22" s="11" t="s">
        <v>39</v>
      </c>
      <c r="B22" cm="1">
        <f t="array" ref="B22">foursix(B16/(1+0.01*B21),2)</f>
        <v>2.17</v>
      </c>
      <c r="C22" cm="1">
        <f t="array" ref="C22">foursix(C16/(1+0.01*C21),2)</f>
        <v>2.16</v>
      </c>
      <c r="D22" cm="1">
        <f t="array" ref="D22">foursix(D16/(1+0.01*D21),2)</f>
        <v>2.12</v>
      </c>
      <c r="E22" cm="1">
        <f t="array" ref="E22">foursix(E16/(1+0.01*E21),2)</f>
        <v>2.14</v>
      </c>
      <c r="F22" cm="1">
        <f t="array" ref="F22">foursix(F16/(1+0.01*F21),2)</f>
        <v>2.15</v>
      </c>
      <c r="G22" cm="1">
        <f t="array" ref="G22">foursix(G16/(1+0.01*G21),2)</f>
        <v>2.13</v>
      </c>
      <c r="H22" cm="1">
        <f t="array" ref="H22">foursix(H16/(1+0.01*H21),2)</f>
        <v>1.98</v>
      </c>
      <c r="I22" cm="1">
        <f t="array" ref="I22">foursix(I16/(1+0.01*I21),2)</f>
        <v>2.0099999999999998</v>
      </c>
      <c r="J22" cm="1">
        <f t="array" ref="J22">foursix(J16/(1+0.01*J21),2)</f>
        <v>2.04</v>
      </c>
      <c r="K22"/>
      <c r="L22" cm="1">
        <f t="array" ref="L22">foursix(L16/(1+0.01*L21),2)</f>
        <v>1.65</v>
      </c>
      <c r="M22"/>
      <c r="N22" cm="1">
        <f t="array" ref="N22">foursix(N16/(1+0.01*N21),2)</f>
        <v>1.65</v>
      </c>
      <c r="O22"/>
      <c r="P22" cm="1">
        <f t="array" ref="P22">foursix(P16/(1+0.01*P21),2)</f>
        <v>1.67</v>
      </c>
      <c r="Q22"/>
      <c r="R22" cm="1">
        <f t="array" ref="R22">foursix(R16/(1+0.01*R21),2)</f>
        <v>1.67</v>
      </c>
      <c r="S22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</row>
    <row r="23" spans="1:39" ht="18" customHeight="1" x14ac:dyDescent="0.25">
      <c r="A23" s="9" t="s">
        <v>40</v>
      </c>
      <c r="B23">
        <v>2.31</v>
      </c>
      <c r="C23">
        <v>2.31</v>
      </c>
      <c r="D23">
        <v>2.31</v>
      </c>
      <c r="E23">
        <v>2.31</v>
      </c>
      <c r="F23">
        <v>2.31</v>
      </c>
      <c r="G23">
        <v>2.31</v>
      </c>
      <c r="H23">
        <v>2.31</v>
      </c>
      <c r="I23">
        <v>2.31</v>
      </c>
      <c r="J23">
        <v>2.31</v>
      </c>
      <c r="K23"/>
      <c r="L23">
        <f t="shared" ref="H23:L23" si="3">$W$2</f>
        <v>1.75</v>
      </c>
      <c r="M23"/>
      <c r="N23">
        <f t="shared" ref="N23:R23" si="4">$W$2</f>
        <v>1.75</v>
      </c>
      <c r="O23"/>
      <c r="P23">
        <f t="shared" si="4"/>
        <v>1.75</v>
      </c>
      <c r="Q23"/>
      <c r="R23">
        <f t="shared" si="4"/>
        <v>1.75</v>
      </c>
      <c r="S23"/>
    </row>
    <row r="24" spans="1:39" s="2" customFormat="1" ht="18" customHeight="1" x14ac:dyDescent="0.25">
      <c r="A24" s="12" t="s">
        <v>41</v>
      </c>
      <c r="B24" cm="1">
        <f t="array" ref="B24">foursix(B22/B23*100,1)</f>
        <v>93.9</v>
      </c>
      <c r="C24" cm="1">
        <f t="array" ref="C24">foursix(C22/C23*100,1)</f>
        <v>93.5</v>
      </c>
      <c r="D24" cm="1">
        <f t="array" ref="D24">foursix(D22/D23*100,1)</f>
        <v>91.8</v>
      </c>
      <c r="E24" cm="1">
        <f t="array" ref="E24">foursix(E22/E23*100,1)</f>
        <v>92.6</v>
      </c>
      <c r="F24" cm="1">
        <f t="array" ref="F24">foursix(F22/F23*100,1)</f>
        <v>93.1</v>
      </c>
      <c r="G24" cm="1">
        <f t="array" ref="G24">foursix(G22/G23*100,1)</f>
        <v>92.2</v>
      </c>
      <c r="H24" cm="1">
        <f t="array" ref="H24">foursix(H22/H23*100,1)</f>
        <v>85.7</v>
      </c>
      <c r="I24" cm="1">
        <f t="array" ref="I24">foursix(I22/I23*100,1)</f>
        <v>87</v>
      </c>
      <c r="J24" cm="1">
        <f t="array" ref="J24">foursix(J22/J23*100,1)</f>
        <v>88.3</v>
      </c>
      <c r="K24"/>
      <c r="L24" cm="1">
        <f t="array" ref="L24">foursix(L22/L23*100,1)</f>
        <v>94.3</v>
      </c>
      <c r="M24"/>
      <c r="N24" cm="1">
        <f t="array" ref="N24">foursix(N22/N23*100,1)</f>
        <v>94.3</v>
      </c>
      <c r="O24"/>
      <c r="P24" cm="1">
        <f t="array" ref="P24">foursix(P22/P23*100,1)</f>
        <v>95.4</v>
      </c>
      <c r="Q24"/>
      <c r="R24" cm="1">
        <f t="array" ref="R24">foursix(R22/R23*100,1)</f>
        <v>95.4</v>
      </c>
      <c r="S24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</row>
    <row r="25" spans="1:39" ht="18" customHeight="1" x14ac:dyDescent="0.25">
      <c r="A25" s="9" t="s">
        <v>42</v>
      </c>
      <c r="B25" s="53" t="s">
        <v>43</v>
      </c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7"/>
    </row>
    <row r="26" spans="1:39" ht="18" customHeight="1" x14ac:dyDescent="0.25">
      <c r="A26" s="9" t="s">
        <v>44</v>
      </c>
      <c r="B26" s="53" t="s">
        <v>45</v>
      </c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7"/>
      <c r="V26" s="3" t="s">
        <v>74</v>
      </c>
      <c r="W26" s="3">
        <v>1</v>
      </c>
      <c r="X26" s="3">
        <v>2</v>
      </c>
      <c r="Y26" s="3">
        <v>3</v>
      </c>
      <c r="Z26" s="3">
        <v>4</v>
      </c>
      <c r="AA26" s="3">
        <v>5</v>
      </c>
      <c r="AB26" s="3">
        <v>6</v>
      </c>
      <c r="AC26" s="3">
        <v>7</v>
      </c>
      <c r="AD26" s="3">
        <v>8</v>
      </c>
      <c r="AE26" s="3">
        <v>9</v>
      </c>
    </row>
    <row r="27" spans="1:39" ht="18" customHeight="1" x14ac:dyDescent="0.25">
      <c r="A27" s="9" t="s">
        <v>46</v>
      </c>
      <c r="B27" s="53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7"/>
      <c r="V27" s="3" t="s">
        <v>11</v>
      </c>
      <c r="W27" s="3" t="s">
        <v>75</v>
      </c>
      <c r="X27" s="3" t="s">
        <v>75</v>
      </c>
      <c r="Y27" s="3" t="s">
        <v>75</v>
      </c>
    </row>
    <row r="28" spans="1:39" ht="19" customHeight="1" x14ac:dyDescent="0.25">
      <c r="A28" s="13" t="s">
        <v>47</v>
      </c>
      <c r="F28" s="5" t="s">
        <v>48</v>
      </c>
      <c r="K28" s="77" t="s">
        <v>49</v>
      </c>
      <c r="L28" s="77"/>
      <c r="V28" s="3" t="s">
        <v>70</v>
      </c>
      <c r="W28" s="3" t="s">
        <v>76</v>
      </c>
      <c r="X28" s="3" t="s">
        <v>77</v>
      </c>
      <c r="Y28" s="3" t="s">
        <v>78</v>
      </c>
    </row>
    <row r="29" spans="1:39" ht="19" customHeight="1" x14ac:dyDescent="0.25">
      <c r="V29" s="165" t="s">
        <v>79</v>
      </c>
      <c r="W29" s="165">
        <v>8168</v>
      </c>
      <c r="X29" s="165">
        <v>8168</v>
      </c>
      <c r="Y29" s="165">
        <v>8168</v>
      </c>
      <c r="Z29" s="165">
        <v>8168</v>
      </c>
      <c r="AA29" s="165">
        <v>8168</v>
      </c>
      <c r="AB29" s="165">
        <v>8168</v>
      </c>
      <c r="AC29" s="165">
        <v>8168</v>
      </c>
      <c r="AD29" s="165">
        <v>8168</v>
      </c>
      <c r="AE29" s="3">
        <v>8168</v>
      </c>
    </row>
    <row r="30" spans="1:39" ht="19" customHeight="1" x14ac:dyDescent="0.25">
      <c r="V30" s="165" t="s">
        <v>80</v>
      </c>
      <c r="W30" s="165">
        <v>5915</v>
      </c>
      <c r="X30" s="165">
        <v>5877</v>
      </c>
      <c r="Y30" s="165">
        <v>5977</v>
      </c>
      <c r="Z30" s="165">
        <v>6076</v>
      </c>
      <c r="AA30" s="165">
        <v>5802</v>
      </c>
      <c r="AB30" s="165">
        <v>5864</v>
      </c>
      <c r="AC30" s="165">
        <v>5619</v>
      </c>
      <c r="AD30" s="165">
        <v>5743</v>
      </c>
      <c r="AE30" s="3">
        <v>5783</v>
      </c>
    </row>
    <row r="31" spans="1:39" ht="19" customHeight="1" x14ac:dyDescent="0.25">
      <c r="V31" s="165" t="s">
        <v>81</v>
      </c>
      <c r="W31" s="165">
        <v>771</v>
      </c>
      <c r="X31" s="165">
        <v>757</v>
      </c>
      <c r="Y31" s="165">
        <v>774</v>
      </c>
      <c r="Z31" s="165">
        <v>743</v>
      </c>
      <c r="AA31" s="165">
        <v>758</v>
      </c>
      <c r="AB31" s="165">
        <v>756</v>
      </c>
      <c r="AC31" s="165">
        <v>757</v>
      </c>
      <c r="AD31" s="165">
        <v>752</v>
      </c>
      <c r="AE31" s="3">
        <v>745</v>
      </c>
    </row>
    <row r="32" spans="1:39" ht="19" customHeight="1" x14ac:dyDescent="0.25">
      <c r="V32" s="3" t="s">
        <v>82</v>
      </c>
      <c r="W32" s="3">
        <v>1482</v>
      </c>
      <c r="X32" s="3">
        <v>1534</v>
      </c>
      <c r="Y32" s="3">
        <v>1417</v>
      </c>
      <c r="Z32" s="3">
        <v>1349</v>
      </c>
      <c r="AA32" s="3">
        <v>1608</v>
      </c>
      <c r="AB32" s="3">
        <v>1548</v>
      </c>
      <c r="AC32" s="3">
        <v>1792</v>
      </c>
      <c r="AD32" s="3">
        <v>1673</v>
      </c>
      <c r="AE32" s="3">
        <v>1640</v>
      </c>
    </row>
    <row r="33" spans="22:31" ht="19" customHeight="1" x14ac:dyDescent="0.25">
      <c r="V33" s="3" t="s">
        <v>83</v>
      </c>
      <c r="W33" s="3">
        <v>1.41</v>
      </c>
      <c r="X33" s="3">
        <v>1.41</v>
      </c>
      <c r="Y33" s="3">
        <v>1.41</v>
      </c>
      <c r="Z33" s="3">
        <v>1.41</v>
      </c>
      <c r="AA33" s="3">
        <v>1.41</v>
      </c>
      <c r="AB33" s="3">
        <v>1.41</v>
      </c>
      <c r="AC33" s="3">
        <v>1.41</v>
      </c>
      <c r="AD33" s="3">
        <v>1.41</v>
      </c>
      <c r="AE33" s="3">
        <v>1.41</v>
      </c>
    </row>
    <row r="34" spans="22:31" ht="19" customHeight="1" x14ac:dyDescent="0.25">
      <c r="V34" s="3" t="s">
        <v>84</v>
      </c>
      <c r="W34" s="3">
        <v>1051</v>
      </c>
      <c r="X34" s="3">
        <v>1088</v>
      </c>
      <c r="Y34" s="3">
        <v>1005</v>
      </c>
      <c r="Z34" s="3">
        <v>957</v>
      </c>
      <c r="AA34" s="3">
        <v>1140</v>
      </c>
      <c r="AB34" s="3">
        <v>1098</v>
      </c>
      <c r="AC34" s="3">
        <v>1271</v>
      </c>
      <c r="AD34" s="3">
        <v>1187</v>
      </c>
      <c r="AE34" s="3">
        <v>1163</v>
      </c>
    </row>
    <row r="35" spans="22:31" ht="19" customHeight="1" x14ac:dyDescent="0.25">
      <c r="V35" s="3" t="s">
        <v>85</v>
      </c>
      <c r="W35" s="3">
        <v>2355</v>
      </c>
      <c r="X35" s="3">
        <v>2409</v>
      </c>
      <c r="Y35" s="3">
        <v>2212</v>
      </c>
      <c r="Z35" s="3">
        <v>2112</v>
      </c>
      <c r="AA35" s="3">
        <v>2543</v>
      </c>
      <c r="AB35" s="3">
        <v>2389</v>
      </c>
      <c r="AC35" s="3">
        <v>2586</v>
      </c>
      <c r="AD35" s="3">
        <v>2456</v>
      </c>
      <c r="AE35" s="3">
        <v>2429</v>
      </c>
    </row>
    <row r="36" spans="22:31" ht="19" customHeight="1" x14ac:dyDescent="0.25">
      <c r="V36" s="3" t="s">
        <v>86</v>
      </c>
      <c r="W36" s="3">
        <v>2.2400000000000002</v>
      </c>
      <c r="X36" s="3">
        <v>2.21</v>
      </c>
      <c r="Y36" s="3">
        <v>2.2000000000000002</v>
      </c>
      <c r="Z36" s="3">
        <v>2.21</v>
      </c>
      <c r="AA36" s="3">
        <v>2.23</v>
      </c>
      <c r="AB36" s="3">
        <v>2.1800000000000002</v>
      </c>
      <c r="AC36" s="3">
        <v>2.0299999999999998</v>
      </c>
      <c r="AD36" s="3">
        <v>2.0699999999999998</v>
      </c>
      <c r="AE36" s="3">
        <v>2.09</v>
      </c>
    </row>
    <row r="37" spans="22:31" ht="19" customHeight="1" x14ac:dyDescent="0.25">
      <c r="V37" s="3" t="s">
        <v>34</v>
      </c>
      <c r="W37" s="3">
        <v>5</v>
      </c>
      <c r="X37" s="3">
        <v>2</v>
      </c>
      <c r="Y37" s="3">
        <v>15</v>
      </c>
      <c r="Z37" s="3">
        <v>16</v>
      </c>
      <c r="AA37" s="3">
        <v>7</v>
      </c>
      <c r="AB37" s="3">
        <v>9</v>
      </c>
      <c r="AC37" s="3">
        <v>6</v>
      </c>
      <c r="AD37" s="3">
        <v>10</v>
      </c>
      <c r="AE37" s="3">
        <v>1</v>
      </c>
    </row>
    <row r="38" spans="22:31" ht="19" customHeight="1" x14ac:dyDescent="0.25">
      <c r="V38" s="3" t="s">
        <v>87</v>
      </c>
      <c r="W38" s="3">
        <v>372</v>
      </c>
      <c r="X38" s="3">
        <v>375</v>
      </c>
      <c r="Y38" s="3">
        <v>374</v>
      </c>
      <c r="Z38" s="3">
        <v>375</v>
      </c>
      <c r="AA38" s="3">
        <v>388</v>
      </c>
      <c r="AB38" s="3">
        <v>376</v>
      </c>
      <c r="AC38" s="3">
        <v>368</v>
      </c>
      <c r="AD38" s="3">
        <v>377</v>
      </c>
      <c r="AE38" s="3">
        <v>380</v>
      </c>
    </row>
    <row r="39" spans="22:31" ht="19" customHeight="1" x14ac:dyDescent="0.25">
      <c r="V39" s="3" t="s">
        <v>88</v>
      </c>
      <c r="W39" s="3">
        <v>2702</v>
      </c>
      <c r="X39" s="3">
        <v>2763</v>
      </c>
      <c r="Y39" s="3">
        <v>2565</v>
      </c>
      <c r="Z39" s="3">
        <v>2468</v>
      </c>
      <c r="AA39" s="3">
        <v>2901</v>
      </c>
      <c r="AB39" s="3">
        <v>2760</v>
      </c>
      <c r="AC39" s="3">
        <v>2939</v>
      </c>
      <c r="AD39" s="3">
        <v>2819</v>
      </c>
      <c r="AE39" s="3">
        <v>2801</v>
      </c>
    </row>
    <row r="40" spans="22:31" ht="19" customHeight="1" x14ac:dyDescent="0.25">
      <c r="V40" s="3" t="s">
        <v>89</v>
      </c>
      <c r="W40" s="3">
        <v>2630</v>
      </c>
      <c r="X40" s="3">
        <v>2705</v>
      </c>
      <c r="Y40" s="3">
        <v>2485</v>
      </c>
      <c r="Z40" s="3">
        <v>2388</v>
      </c>
      <c r="AA40" s="3">
        <v>2807</v>
      </c>
      <c r="AB40" s="3">
        <v>2702</v>
      </c>
      <c r="AC40" s="3">
        <v>2879</v>
      </c>
      <c r="AD40" s="3">
        <v>2746</v>
      </c>
      <c r="AE40" s="3">
        <v>2744</v>
      </c>
    </row>
    <row r="41" spans="22:31" x14ac:dyDescent="0.25">
      <c r="V41" s="3" t="s">
        <v>90</v>
      </c>
      <c r="W41" s="3">
        <v>3.2</v>
      </c>
      <c r="X41" s="3">
        <v>2.5</v>
      </c>
      <c r="Y41" s="3">
        <v>3.8</v>
      </c>
      <c r="Z41" s="3">
        <v>4</v>
      </c>
      <c r="AA41" s="3">
        <v>3.9</v>
      </c>
      <c r="AB41" s="3">
        <v>2.5</v>
      </c>
      <c r="AC41" s="3">
        <v>2.4</v>
      </c>
      <c r="AD41" s="3">
        <v>3.1</v>
      </c>
      <c r="AE41" s="3">
        <v>2.4</v>
      </c>
    </row>
    <row r="42" spans="22:31" x14ac:dyDescent="0.25">
      <c r="V42" s="3" t="s">
        <v>91</v>
      </c>
      <c r="W42" s="3">
        <v>2.17</v>
      </c>
      <c r="X42" s="3">
        <v>2.16</v>
      </c>
      <c r="Y42" s="3">
        <v>2.12</v>
      </c>
      <c r="Z42" s="3">
        <v>2.12</v>
      </c>
      <c r="AA42" s="3">
        <v>2.15</v>
      </c>
      <c r="AB42" s="3">
        <v>2.13</v>
      </c>
      <c r="AC42" s="3">
        <v>1.98</v>
      </c>
      <c r="AD42" s="3">
        <v>2.0099999999999998</v>
      </c>
      <c r="AE42" s="3">
        <v>2.04</v>
      </c>
    </row>
    <row r="43" spans="22:31" ht="26.25" customHeight="1" x14ac:dyDescent="0.25">
      <c r="V43" s="3" t="s">
        <v>92</v>
      </c>
      <c r="W43" s="3">
        <v>2.31</v>
      </c>
      <c r="X43" s="3">
        <v>2.31</v>
      </c>
      <c r="Y43" s="3">
        <v>2.31</v>
      </c>
      <c r="Z43" s="3">
        <v>2.31</v>
      </c>
      <c r="AA43" s="3">
        <v>2.31</v>
      </c>
      <c r="AB43" s="3">
        <v>2.31</v>
      </c>
      <c r="AC43" s="3">
        <v>2.31</v>
      </c>
      <c r="AD43" s="3">
        <v>2.31</v>
      </c>
      <c r="AE43" s="3">
        <v>2.31</v>
      </c>
    </row>
    <row r="44" spans="22:31" x14ac:dyDescent="0.25">
      <c r="V44" s="3" t="s">
        <v>93</v>
      </c>
      <c r="W44" s="3">
        <v>93.9</v>
      </c>
      <c r="X44" s="3">
        <v>93.5</v>
      </c>
      <c r="Y44" s="3">
        <v>91.8</v>
      </c>
      <c r="Z44" s="3">
        <v>91.8</v>
      </c>
      <c r="AA44" s="3">
        <v>93.1</v>
      </c>
      <c r="AB44" s="3">
        <v>92.2</v>
      </c>
      <c r="AC44" s="3">
        <v>85.7</v>
      </c>
      <c r="AD44" s="3">
        <v>87</v>
      </c>
      <c r="AE44" s="3">
        <v>88.3</v>
      </c>
    </row>
  </sheetData>
  <mergeCells count="27">
    <mergeCell ref="B25:S25"/>
    <mergeCell ref="B26:S26"/>
    <mergeCell ref="B27:S27"/>
    <mergeCell ref="K28:L28"/>
    <mergeCell ref="U18:U19"/>
    <mergeCell ref="U16:U17"/>
    <mergeCell ref="U14:U15"/>
    <mergeCell ref="U12:U13"/>
    <mergeCell ref="U10:U11"/>
    <mergeCell ref="U8:U9"/>
    <mergeCell ref="B4:S4"/>
    <mergeCell ref="B5:S5"/>
    <mergeCell ref="B6:G6"/>
    <mergeCell ref="H6:M6"/>
    <mergeCell ref="N6:S6"/>
    <mergeCell ref="U6:U7"/>
    <mergeCell ref="B7:G7"/>
    <mergeCell ref="H7:M7"/>
    <mergeCell ref="N7:S7"/>
    <mergeCell ref="A1:M1"/>
    <mergeCell ref="N1:Q1"/>
    <mergeCell ref="R1:U1"/>
    <mergeCell ref="A2:U2"/>
    <mergeCell ref="A3:C3"/>
    <mergeCell ref="D3:G3"/>
    <mergeCell ref="J3:L3"/>
    <mergeCell ref="M3:S3"/>
  </mergeCells>
  <phoneticPr fontId="31" type="noConversion"/>
  <printOptions horizontalCentered="1"/>
  <pageMargins left="0.55118110236220497" right="0.55118110236220497" top="0.39370078740157499" bottom="0.196850393700787" header="0.511811023622047" footer="0.511811023622047"/>
  <pageSetup paperSize="9" orientation="landscape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5DBE5-FC46-42EF-975D-78F693B4D3C2}">
  <dimension ref="A1:AM43"/>
  <sheetViews>
    <sheetView workbookViewId="0">
      <selection activeCell="O43" sqref="O43"/>
    </sheetView>
  </sheetViews>
  <sheetFormatPr defaultColWidth="9" defaultRowHeight="15" x14ac:dyDescent="0.25"/>
  <cols>
    <col min="1" max="1" width="24.58203125" style="3" customWidth="1"/>
    <col min="2" max="19" width="5.58203125" style="3" customWidth="1"/>
    <col min="20" max="21" width="9" style="3"/>
    <col min="22" max="22" width="10.4140625" style="3" customWidth="1"/>
    <col min="23" max="16384" width="9" style="3"/>
  </cols>
  <sheetData>
    <row r="1" spans="1:25" ht="17.5" x14ac:dyDescent="0.25">
      <c r="A1" s="39" t="s">
        <v>59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40" t="s">
        <v>1</v>
      </c>
      <c r="O1" s="40"/>
      <c r="P1" s="40"/>
      <c r="Q1" s="40"/>
      <c r="R1" s="40"/>
      <c r="S1" s="40"/>
      <c r="T1" s="40"/>
      <c r="U1" s="40"/>
    </row>
    <row r="2" spans="1:25" ht="23" x14ac:dyDescent="0.25">
      <c r="A2" s="41" t="s">
        <v>2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" t="s">
        <v>65</v>
      </c>
      <c r="W2" s="4">
        <v>1.75</v>
      </c>
    </row>
    <row r="3" spans="1:25" ht="19" customHeight="1" x14ac:dyDescent="0.25">
      <c r="A3" s="42" t="s">
        <v>60</v>
      </c>
      <c r="B3" s="42"/>
      <c r="C3" s="42"/>
      <c r="D3" s="42"/>
      <c r="E3" s="42"/>
      <c r="F3" s="42"/>
      <c r="G3" s="42"/>
      <c r="H3" s="5" t="s">
        <v>4</v>
      </c>
      <c r="J3" s="43" t="s">
        <v>5</v>
      </c>
      <c r="K3" s="43"/>
      <c r="L3" s="43"/>
      <c r="M3" s="44" t="s">
        <v>61</v>
      </c>
      <c r="N3" s="44"/>
      <c r="O3" s="44"/>
      <c r="P3" s="44"/>
      <c r="Q3" s="44"/>
      <c r="R3" s="44"/>
      <c r="S3" s="44"/>
      <c r="V3" s="6">
        <v>1</v>
      </c>
      <c r="W3" s="6">
        <v>380</v>
      </c>
      <c r="X3" s="7">
        <v>3</v>
      </c>
      <c r="Y3" s="8">
        <f ca="1">RANDBETWEEN(0,5)</f>
        <v>0</v>
      </c>
    </row>
    <row r="4" spans="1:25" ht="19" customHeight="1" x14ac:dyDescent="0.25">
      <c r="A4" s="9" t="s">
        <v>7</v>
      </c>
      <c r="B4" s="53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7"/>
      <c r="V4" s="6">
        <v>2</v>
      </c>
      <c r="W4" s="6">
        <v>375</v>
      </c>
      <c r="X4" s="7">
        <v>2</v>
      </c>
      <c r="Y4" s="8">
        <f t="shared" ref="Y4:Y17" ca="1" si="0">RANDBETWEEN(0,5)</f>
        <v>5</v>
      </c>
    </row>
    <row r="5" spans="1:25" ht="19" customHeight="1" x14ac:dyDescent="0.25">
      <c r="A5" s="9" t="s">
        <v>9</v>
      </c>
      <c r="B5" s="53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7"/>
      <c r="V5" s="6">
        <v>3</v>
      </c>
      <c r="W5" s="6">
        <v>371</v>
      </c>
      <c r="X5" s="7">
        <v>0</v>
      </c>
      <c r="Y5" s="8">
        <f t="shared" ca="1" si="0"/>
        <v>1</v>
      </c>
    </row>
    <row r="6" spans="1:25" ht="18" customHeight="1" x14ac:dyDescent="0.25">
      <c r="A6" s="9" t="s">
        <v>11</v>
      </c>
      <c r="B6" s="58"/>
      <c r="C6" s="59"/>
      <c r="D6" s="58"/>
      <c r="E6" s="59"/>
      <c r="F6" s="58"/>
      <c r="G6" s="59"/>
      <c r="H6" s="58"/>
      <c r="I6" s="59"/>
      <c r="J6" s="58"/>
      <c r="K6" s="59"/>
      <c r="L6" s="53"/>
      <c r="M6" s="47"/>
      <c r="N6" s="53"/>
      <c r="O6" s="47"/>
      <c r="P6" s="53"/>
      <c r="Q6" s="47"/>
      <c r="R6" s="53"/>
      <c r="S6" s="47"/>
      <c r="V6" s="6">
        <v>4</v>
      </c>
      <c r="W6" s="6">
        <v>364</v>
      </c>
      <c r="X6" s="7">
        <v>1</v>
      </c>
      <c r="Y6" s="8">
        <f t="shared" ca="1" si="0"/>
        <v>4</v>
      </c>
    </row>
    <row r="7" spans="1:25" ht="18" customHeight="1" x14ac:dyDescent="0.25">
      <c r="A7" s="9" t="s">
        <v>62</v>
      </c>
      <c r="B7" s="58"/>
      <c r="C7" s="59"/>
      <c r="D7" s="58"/>
      <c r="E7" s="59"/>
      <c r="F7" s="58"/>
      <c r="G7" s="59"/>
      <c r="H7" s="58"/>
      <c r="I7" s="59"/>
      <c r="J7" s="58"/>
      <c r="K7" s="59"/>
      <c r="L7" s="53"/>
      <c r="M7" s="47"/>
      <c r="N7" s="53"/>
      <c r="O7" s="47"/>
      <c r="P7" s="53"/>
      <c r="Q7" s="47"/>
      <c r="R7" s="53"/>
      <c r="S7" s="47"/>
      <c r="V7" s="6">
        <v>5</v>
      </c>
      <c r="W7" s="6">
        <v>372</v>
      </c>
      <c r="X7" s="7">
        <v>4</v>
      </c>
      <c r="Y7" s="8">
        <f t="shared" ca="1" si="0"/>
        <v>5</v>
      </c>
    </row>
    <row r="8" spans="1:25" ht="18" customHeight="1" x14ac:dyDescent="0.25">
      <c r="A8" s="9" t="s">
        <v>24</v>
      </c>
      <c r="B8" s="57">
        <v>1</v>
      </c>
      <c r="C8" s="57"/>
      <c r="D8" s="58">
        <v>2</v>
      </c>
      <c r="E8" s="59"/>
      <c r="F8" s="58">
        <v>3</v>
      </c>
      <c r="G8" s="59"/>
      <c r="H8" s="60">
        <v>4</v>
      </c>
      <c r="I8" s="61"/>
      <c r="J8" s="60">
        <v>5</v>
      </c>
      <c r="K8" s="61"/>
      <c r="L8" s="62">
        <v>6</v>
      </c>
      <c r="M8" s="63"/>
      <c r="N8" s="62">
        <v>7</v>
      </c>
      <c r="O8" s="63"/>
      <c r="P8" s="53">
        <v>8</v>
      </c>
      <c r="Q8" s="47"/>
      <c r="R8" s="53">
        <v>9</v>
      </c>
      <c r="S8" s="47"/>
      <c r="V8" s="6">
        <v>6</v>
      </c>
      <c r="W8" s="6">
        <v>368</v>
      </c>
      <c r="X8" s="7">
        <v>2</v>
      </c>
      <c r="Y8" s="8">
        <f t="shared" ca="1" si="0"/>
        <v>0</v>
      </c>
    </row>
    <row r="9" spans="1:25" ht="18" customHeight="1" x14ac:dyDescent="0.25">
      <c r="A9" s="9" t="s">
        <v>25</v>
      </c>
      <c r="B9" s="69">
        <v>8229</v>
      </c>
      <c r="C9" s="69"/>
      <c r="D9" s="69">
        <v>8213</v>
      </c>
      <c r="E9" s="69"/>
      <c r="F9" s="69">
        <v>8209</v>
      </c>
      <c r="G9" s="69"/>
      <c r="H9" s="69">
        <v>8207</v>
      </c>
      <c r="I9" s="69"/>
      <c r="J9" s="69">
        <v>8196</v>
      </c>
      <c r="K9" s="69"/>
      <c r="L9" s="69">
        <v>8196</v>
      </c>
      <c r="M9" s="69"/>
      <c r="N9" s="69">
        <v>8176</v>
      </c>
      <c r="O9" s="69"/>
      <c r="P9" s="69">
        <v>8175</v>
      </c>
      <c r="Q9" s="69"/>
      <c r="R9" s="69">
        <v>8175</v>
      </c>
      <c r="S9" s="69"/>
      <c r="V9" s="6">
        <v>7</v>
      </c>
      <c r="W9" s="6">
        <v>388</v>
      </c>
      <c r="X9" s="7">
        <v>3</v>
      </c>
      <c r="Y9" s="8">
        <f t="shared" ca="1" si="0"/>
        <v>4</v>
      </c>
    </row>
    <row r="10" spans="1:25" ht="18" customHeight="1" x14ac:dyDescent="0.25">
      <c r="A10" s="9" t="s">
        <v>26</v>
      </c>
      <c r="B10" s="150">
        <f>ROUND(B9-B11-B12,0)</f>
        <v>5785</v>
      </c>
      <c r="C10" s="151"/>
      <c r="D10" s="150">
        <f>ROUND(D9-D11-D12,0)</f>
        <v>5580</v>
      </c>
      <c r="E10" s="151"/>
      <c r="F10" s="150">
        <f>ROUND(F9-F11-F12,0)</f>
        <v>5827</v>
      </c>
      <c r="G10" s="151"/>
      <c r="H10" s="150">
        <f>ROUND(H9-H11-H12,0)</f>
        <v>5612</v>
      </c>
      <c r="I10" s="151"/>
      <c r="J10" s="150">
        <f>ROUND(J9-J11-J12,0)</f>
        <v>5955</v>
      </c>
      <c r="K10" s="151"/>
      <c r="L10" s="150">
        <f>ROUND(L9-L11-L12,0)</f>
        <v>5955</v>
      </c>
      <c r="M10" s="151"/>
      <c r="N10" s="150">
        <f>ROUND(N9-N11-N12,0)</f>
        <v>5818</v>
      </c>
      <c r="O10" s="151"/>
      <c r="P10" s="150">
        <f>ROUND(P9-P11-P12,0)</f>
        <v>5949</v>
      </c>
      <c r="Q10" s="151"/>
      <c r="R10" s="150">
        <f>ROUND(R9-R11-R12,0)</f>
        <v>5812</v>
      </c>
      <c r="S10" s="151"/>
      <c r="V10" s="6">
        <v>8</v>
      </c>
      <c r="W10" s="6">
        <v>359</v>
      </c>
      <c r="X10" s="7">
        <v>5</v>
      </c>
      <c r="Y10" s="8">
        <f t="shared" ca="1" si="0"/>
        <v>4</v>
      </c>
    </row>
    <row r="11" spans="1:25" ht="26.25" customHeight="1" x14ac:dyDescent="0.25">
      <c r="A11" s="10" t="s">
        <v>27</v>
      </c>
      <c r="B11" s="152">
        <v>730</v>
      </c>
      <c r="C11" s="152"/>
      <c r="D11" s="152">
        <v>730</v>
      </c>
      <c r="E11" s="152"/>
      <c r="F11" s="152">
        <v>730</v>
      </c>
      <c r="G11" s="152"/>
      <c r="H11" s="152">
        <v>730</v>
      </c>
      <c r="I11" s="152"/>
      <c r="J11" s="152">
        <v>730</v>
      </c>
      <c r="K11" s="152"/>
      <c r="L11" s="152">
        <v>730</v>
      </c>
      <c r="M11" s="152"/>
      <c r="N11" s="152">
        <v>730</v>
      </c>
      <c r="O11" s="152"/>
      <c r="P11" s="152">
        <v>730</v>
      </c>
      <c r="Q11" s="152"/>
      <c r="R11" s="152">
        <v>730</v>
      </c>
      <c r="S11" s="152"/>
      <c r="V11" s="6">
        <v>9</v>
      </c>
      <c r="W11" s="6">
        <v>376</v>
      </c>
      <c r="X11" s="7">
        <v>0</v>
      </c>
      <c r="Y11" s="8">
        <f t="shared" ca="1" si="0"/>
        <v>0</v>
      </c>
    </row>
    <row r="12" spans="1:25" ht="18" customHeight="1" x14ac:dyDescent="0.25">
      <c r="A12" s="9" t="s">
        <v>28</v>
      </c>
      <c r="B12" s="152">
        <f>B14*B13</f>
        <v>1714.2610477126891</v>
      </c>
      <c r="C12" s="152"/>
      <c r="D12" s="152">
        <f>D14*D13</f>
        <v>1903.1091829356471</v>
      </c>
      <c r="E12" s="152"/>
      <c r="F12" s="152">
        <f>F14*F13</f>
        <v>1651.6516020837321</v>
      </c>
      <c r="G12" s="152"/>
      <c r="H12" s="152">
        <f>H14*H13</f>
        <v>1864.5895355001835</v>
      </c>
      <c r="I12" s="152"/>
      <c r="J12" s="152">
        <f>J14*J13</f>
        <v>1510.6555985095947</v>
      </c>
      <c r="K12" s="152"/>
      <c r="L12" s="152">
        <f>L14*L13</f>
        <v>1510.5556922930346</v>
      </c>
      <c r="M12" s="152"/>
      <c r="N12" s="152">
        <f>N14*N13</f>
        <v>1628.3985175829164</v>
      </c>
      <c r="O12" s="152"/>
      <c r="P12" s="152">
        <f>P14*P13</f>
        <v>1496.0249545070023</v>
      </c>
      <c r="Q12" s="152"/>
      <c r="R12" s="152">
        <f>R14*R13</f>
        <v>1632.5934403638616</v>
      </c>
      <c r="S12" s="152"/>
      <c r="V12" s="6">
        <v>10</v>
      </c>
      <c r="W12" s="6">
        <v>377</v>
      </c>
      <c r="X12" s="7">
        <v>3</v>
      </c>
      <c r="Y12" s="8">
        <f t="shared" ca="1" si="0"/>
        <v>1</v>
      </c>
    </row>
    <row r="13" spans="1:25" ht="18" customHeight="1" x14ac:dyDescent="0.25">
      <c r="A13" s="9" t="s">
        <v>29</v>
      </c>
      <c r="B13" s="153">
        <v>1.41</v>
      </c>
      <c r="C13" s="153"/>
      <c r="D13" s="153">
        <v>1.41</v>
      </c>
      <c r="E13" s="153"/>
      <c r="F13" s="153">
        <v>1.41</v>
      </c>
      <c r="G13" s="153"/>
      <c r="H13" s="153">
        <v>1.41</v>
      </c>
      <c r="I13" s="153"/>
      <c r="J13" s="153">
        <v>1.41</v>
      </c>
      <c r="K13" s="153"/>
      <c r="L13" s="153">
        <v>1.41</v>
      </c>
      <c r="M13" s="153"/>
      <c r="N13" s="153">
        <v>1.41</v>
      </c>
      <c r="O13" s="153"/>
      <c r="P13" s="153">
        <v>1.41</v>
      </c>
      <c r="Q13" s="153"/>
      <c r="R13" s="153">
        <v>1.41</v>
      </c>
      <c r="S13" s="153"/>
      <c r="V13" s="6">
        <v>11</v>
      </c>
      <c r="W13" s="6">
        <v>368</v>
      </c>
      <c r="X13" s="7">
        <v>5</v>
      </c>
      <c r="Y13" s="8">
        <f t="shared" ca="1" si="0"/>
        <v>4</v>
      </c>
    </row>
    <row r="14" spans="1:25" ht="18" customHeight="1" x14ac:dyDescent="0.25">
      <c r="A14" s="9" t="s">
        <v>31</v>
      </c>
      <c r="B14" s="154">
        <f>B15/B16</f>
        <v>1215.7879771011981</v>
      </c>
      <c r="C14" s="152"/>
      <c r="D14" s="154">
        <f>D15/D16</f>
        <v>1349.7228247770547</v>
      </c>
      <c r="E14" s="152"/>
      <c r="F14" s="154">
        <f>F15/F16</f>
        <v>1171.3841149530015</v>
      </c>
      <c r="G14" s="152"/>
      <c r="H14" s="154">
        <f>H15/H16</f>
        <v>1322.4039258866551</v>
      </c>
      <c r="I14" s="152"/>
      <c r="J14" s="154">
        <f>J15/J16</f>
        <v>1071.386949297585</v>
      </c>
      <c r="K14" s="152"/>
      <c r="L14" s="154">
        <f>L15/L16</f>
        <v>1071.3160938248473</v>
      </c>
      <c r="M14" s="152"/>
      <c r="N14" s="154">
        <f>N15/N16</f>
        <v>1154.8925656616429</v>
      </c>
      <c r="O14" s="152"/>
      <c r="P14" s="154">
        <f>P15/P16</f>
        <v>1061.0106060333351</v>
      </c>
      <c r="Q14" s="152"/>
      <c r="R14" s="154">
        <f>R15/R16</f>
        <v>1157.8676882013203</v>
      </c>
      <c r="S14" s="152"/>
      <c r="V14" s="6">
        <v>12</v>
      </c>
      <c r="W14" s="6">
        <v>369</v>
      </c>
      <c r="X14" s="7">
        <v>1</v>
      </c>
      <c r="Y14" s="8">
        <f t="shared" ca="1" si="0"/>
        <v>5</v>
      </c>
    </row>
    <row r="15" spans="1:25" ht="18" customHeight="1" x14ac:dyDescent="0.25">
      <c r="A15" s="9" t="s">
        <v>32</v>
      </c>
      <c r="B15" s="155">
        <v>2218</v>
      </c>
      <c r="C15" s="155"/>
      <c r="D15" s="155">
        <v>2450</v>
      </c>
      <c r="E15" s="155"/>
      <c r="F15" s="155">
        <v>2129</v>
      </c>
      <c r="G15" s="155"/>
      <c r="H15" s="155">
        <v>2432</v>
      </c>
      <c r="I15" s="155"/>
      <c r="J15" s="155">
        <v>2011</v>
      </c>
      <c r="K15" s="155"/>
      <c r="L15" s="155">
        <v>2024</v>
      </c>
      <c r="M15" s="155"/>
      <c r="N15" s="155">
        <v>2146</v>
      </c>
      <c r="O15" s="155"/>
      <c r="P15" s="155">
        <v>2019</v>
      </c>
      <c r="Q15" s="155"/>
      <c r="R15" s="155">
        <v>2164</v>
      </c>
      <c r="S15" s="155"/>
      <c r="V15" s="6">
        <v>13</v>
      </c>
      <c r="W15" s="6">
        <v>367</v>
      </c>
      <c r="X15" s="7">
        <v>0</v>
      </c>
      <c r="Y15" s="8">
        <f t="shared" ca="1" si="0"/>
        <v>0</v>
      </c>
    </row>
    <row r="16" spans="1:25" ht="18" customHeight="1" x14ac:dyDescent="0.25">
      <c r="A16" s="9" t="s">
        <v>33</v>
      </c>
      <c r="B16" s="156">
        <f>B22*(1+B21/100)</f>
        <v>1.82433125</v>
      </c>
      <c r="C16" s="156"/>
      <c r="D16" s="156">
        <f>D22*(1+D21/100)</f>
        <v>1.8151875</v>
      </c>
      <c r="E16" s="156"/>
      <c r="F16" s="156">
        <f>F22*(1+F21/100)</f>
        <v>1.8175080000000003</v>
      </c>
      <c r="G16" s="156"/>
      <c r="H16" s="156">
        <f>H22*(1+H21/100)</f>
        <v>1.8390749999999998</v>
      </c>
      <c r="I16" s="156"/>
      <c r="J16" s="156">
        <f>J22*(1+J21/100)</f>
        <v>1.87700625</v>
      </c>
      <c r="K16" s="156"/>
      <c r="L16" s="156">
        <f>L22*(1+L21/100)</f>
        <v>1.889265</v>
      </c>
      <c r="M16" s="156"/>
      <c r="N16" s="156">
        <f>N22*(1+N21/100)</f>
        <v>1.8581814999999997</v>
      </c>
      <c r="O16" s="156"/>
      <c r="P16" s="156">
        <f>P22*(1+P21/100)</f>
        <v>1.9029027500000002</v>
      </c>
      <c r="Q16" s="156"/>
      <c r="R16" s="156">
        <f>R22*(1+R21/100)</f>
        <v>1.8689527499999998</v>
      </c>
      <c r="S16" s="156"/>
      <c r="V16" s="6">
        <v>14</v>
      </c>
      <c r="W16" s="6">
        <v>382</v>
      </c>
      <c r="X16" s="7">
        <v>0</v>
      </c>
      <c r="Y16" s="8">
        <f t="shared" ca="1" si="0"/>
        <v>3</v>
      </c>
    </row>
    <row r="17" spans="1:39" ht="18" customHeight="1" x14ac:dyDescent="0.25">
      <c r="A17" s="9" t="s">
        <v>34</v>
      </c>
      <c r="B17" s="157">
        <v>5</v>
      </c>
      <c r="C17" s="158"/>
      <c r="D17" s="157">
        <v>3</v>
      </c>
      <c r="E17" s="158"/>
      <c r="F17" s="157">
        <v>2</v>
      </c>
      <c r="G17" s="158"/>
      <c r="H17" s="157">
        <v>1</v>
      </c>
      <c r="I17" s="158"/>
      <c r="J17" s="157">
        <v>7</v>
      </c>
      <c r="K17" s="158"/>
      <c r="L17" s="157">
        <v>4</v>
      </c>
      <c r="M17" s="158"/>
      <c r="N17" s="157">
        <v>8</v>
      </c>
      <c r="O17" s="158"/>
      <c r="P17" s="157">
        <v>9</v>
      </c>
      <c r="Q17" s="158"/>
      <c r="R17" s="157">
        <v>12</v>
      </c>
      <c r="S17" s="158"/>
      <c r="V17" s="6">
        <v>15</v>
      </c>
      <c r="W17" s="6">
        <v>374</v>
      </c>
      <c r="X17" s="7">
        <v>0</v>
      </c>
      <c r="Y17" s="8">
        <f t="shared" ca="1" si="0"/>
        <v>0</v>
      </c>
    </row>
    <row r="18" spans="1:39" ht="18" customHeight="1" x14ac:dyDescent="0.25">
      <c r="A18" s="9" t="s">
        <v>35</v>
      </c>
      <c r="B18" s="150" cm="1">
        <f t="array" ref="B18">INDEX($W:$W,B17+2)</f>
        <v>372</v>
      </c>
      <c r="C18" s="151"/>
      <c r="D18" s="150" cm="1">
        <f t="array" ref="D18">INDEX($W:$W,D17+2)</f>
        <v>371</v>
      </c>
      <c r="E18" s="151"/>
      <c r="F18" s="150" cm="1">
        <f t="array" ref="F18">INDEX($W:$W,F17+2)</f>
        <v>375</v>
      </c>
      <c r="G18" s="151"/>
      <c r="H18" s="150" cm="1">
        <f t="array" ref="H18">INDEX($W:$W,H17+2)</f>
        <v>380</v>
      </c>
      <c r="I18" s="151"/>
      <c r="J18" s="150" cm="1">
        <f t="array" ref="J18">INDEX($W:$W,J17+2)</f>
        <v>388</v>
      </c>
      <c r="K18" s="151"/>
      <c r="L18" s="150" cm="1">
        <f t="array" ref="L18">INDEX($W:$W,L17+2)</f>
        <v>364</v>
      </c>
      <c r="M18" s="151"/>
      <c r="N18" s="150" cm="1">
        <f t="array" ref="N18">INDEX($W:$W,N17+2)</f>
        <v>359</v>
      </c>
      <c r="O18" s="151"/>
      <c r="P18" s="150" cm="1">
        <f t="array" ref="P18">INDEX($W:$W,P17+2)</f>
        <v>376</v>
      </c>
      <c r="Q18" s="151"/>
      <c r="R18" s="150" cm="1">
        <f t="array" ref="R18">INDEX($W:$W,R17+2)</f>
        <v>369</v>
      </c>
      <c r="S18" s="151"/>
    </row>
    <row r="19" spans="1:39" ht="18" customHeight="1" x14ac:dyDescent="0.25">
      <c r="A19" s="9" t="s">
        <v>36</v>
      </c>
      <c r="B19" s="150" cm="1">
        <f t="array" ref="B19">B18+B15-INDEX($X:$X,B17+2)</f>
        <v>2586</v>
      </c>
      <c r="C19" s="151"/>
      <c r="D19" s="150" cm="1">
        <f t="array" ref="D19">D18+D15-INDEX($X:$X,D17+2)</f>
        <v>2821</v>
      </c>
      <c r="E19" s="151"/>
      <c r="F19" s="150" cm="1">
        <f t="array" ref="F19">F18+F15-INDEX($X:$X,F17+2)</f>
        <v>2502</v>
      </c>
      <c r="G19" s="151"/>
      <c r="H19" s="150" cm="1">
        <f t="array" ref="H19">H18+H15-INDEX($X:$X,H17+2)</f>
        <v>2809</v>
      </c>
      <c r="I19" s="151"/>
      <c r="J19" s="150" cm="1">
        <f t="array" ref="J19">J18+J15-INDEX($X:$X,J17+2)</f>
        <v>2396</v>
      </c>
      <c r="K19" s="151"/>
      <c r="L19" s="150" cm="1">
        <f t="array" ref="L19">L18+L15-INDEX($X:$X,L17+2)</f>
        <v>2387</v>
      </c>
      <c r="M19" s="151"/>
      <c r="N19" s="150" cm="1">
        <f t="array" ref="N19">N18+N15-INDEX($X:$X,N17+2)</f>
        <v>2500</v>
      </c>
      <c r="O19" s="151"/>
      <c r="P19" s="150" cm="1">
        <f t="array" ref="P19">P18+P15-INDEX($X:$X,P17+2)</f>
        <v>2395</v>
      </c>
      <c r="Q19" s="151"/>
      <c r="R19" s="150" cm="1">
        <f t="array" ref="R19">R18+R15-INDEX($X:$X,R17+2)</f>
        <v>2532</v>
      </c>
      <c r="S19" s="151"/>
    </row>
    <row r="20" spans="1:39" ht="18" customHeight="1" x14ac:dyDescent="0.25">
      <c r="A20" s="9" t="s">
        <v>37</v>
      </c>
      <c r="B20" s="159">
        <f>ROUND((B19+B21/100*B18)/(B21/100+1),0)</f>
        <v>2337</v>
      </c>
      <c r="C20" s="160"/>
      <c r="D20" s="159">
        <f>ROUND((D19+D21/100*D18)/(D21/100+1),0)</f>
        <v>2549</v>
      </c>
      <c r="E20" s="160"/>
      <c r="F20" s="159">
        <f>ROUND((F19+F21/100*F18)/(F21/100+1),0)</f>
        <v>2267</v>
      </c>
      <c r="G20" s="160"/>
      <c r="H20" s="159">
        <f>ROUND((H19+H21/100*H18)/(H21/100+1),0)</f>
        <v>2530</v>
      </c>
      <c r="I20" s="160"/>
      <c r="J20" s="159">
        <f>ROUND((J19+J21/100*J18)/(J21/100+1),0)</f>
        <v>2157</v>
      </c>
      <c r="K20" s="160"/>
      <c r="L20" s="159">
        <f>ROUND((L19+L21/100*L18)/(L21/100+1),0)</f>
        <v>2139</v>
      </c>
      <c r="M20" s="160"/>
      <c r="N20" s="159">
        <f>ROUND((N19+N21/100*N18)/(N21/100+1),0)</f>
        <v>2260</v>
      </c>
      <c r="O20" s="160"/>
      <c r="P20" s="159">
        <f>ROUND((P19+P21/100*P18)/(P21/100+1),0)</f>
        <v>2146</v>
      </c>
      <c r="Q20" s="160"/>
      <c r="R20" s="159">
        <f>ROUND((R19+R21/100*R18)/(R21/100+1),0)</f>
        <v>2295</v>
      </c>
      <c r="S20" s="160"/>
    </row>
    <row r="21" spans="1:39" s="1" customFormat="1" ht="18" customHeight="1" x14ac:dyDescent="0.25">
      <c r="A21" s="11" t="s">
        <v>38</v>
      </c>
      <c r="B21" s="161">
        <v>12.7</v>
      </c>
      <c r="C21" s="162"/>
      <c r="D21" s="161">
        <v>12.5</v>
      </c>
      <c r="E21" s="162"/>
      <c r="F21" s="161">
        <v>12.4</v>
      </c>
      <c r="G21" s="162"/>
      <c r="H21" s="161">
        <v>13</v>
      </c>
      <c r="I21" s="162"/>
      <c r="J21" s="161">
        <v>13.5</v>
      </c>
      <c r="K21" s="162"/>
      <c r="L21" s="161">
        <v>14</v>
      </c>
      <c r="M21" s="162"/>
      <c r="N21" s="161">
        <v>12.6</v>
      </c>
      <c r="O21" s="162"/>
      <c r="P21" s="161">
        <v>14.1</v>
      </c>
      <c r="Q21" s="162"/>
      <c r="R21" s="161">
        <v>12.3</v>
      </c>
      <c r="S21" s="162"/>
      <c r="U21" s="3"/>
    </row>
    <row r="22" spans="1:39" s="1" customFormat="1" ht="18" customHeight="1" x14ac:dyDescent="0.25">
      <c r="A22" s="11" t="s">
        <v>39</v>
      </c>
      <c r="B22" s="156">
        <f>B23*B24/100</f>
        <v>1.6187499999999999</v>
      </c>
      <c r="C22" s="156"/>
      <c r="D22" s="156">
        <f>D23*D24/100</f>
        <v>1.6134999999999999</v>
      </c>
      <c r="E22" s="156"/>
      <c r="F22" s="156">
        <f>F23*F24/100</f>
        <v>1.6170000000000002</v>
      </c>
      <c r="G22" s="156"/>
      <c r="H22" s="156">
        <f>H23*H24/100</f>
        <v>1.6274999999999999</v>
      </c>
      <c r="I22" s="156"/>
      <c r="J22" s="156">
        <f>J23*J24/100</f>
        <v>1.6537500000000001</v>
      </c>
      <c r="K22" s="156"/>
      <c r="L22" s="156">
        <f>L23*L24/100</f>
        <v>1.6572499999999999</v>
      </c>
      <c r="M22" s="156"/>
      <c r="N22" s="156">
        <f>N23*N24/100</f>
        <v>1.65025</v>
      </c>
      <c r="O22" s="156"/>
      <c r="P22" s="156">
        <f>P23*P24/100</f>
        <v>1.6677500000000001</v>
      </c>
      <c r="Q22" s="156"/>
      <c r="R22" s="156">
        <f>R23*R24/100</f>
        <v>1.6642499999999998</v>
      </c>
      <c r="S22" s="156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</row>
    <row r="23" spans="1:39" ht="18" customHeight="1" x14ac:dyDescent="0.25">
      <c r="A23" s="9" t="s">
        <v>40</v>
      </c>
      <c r="B23" s="75">
        <f>$W$2</f>
        <v>1.75</v>
      </c>
      <c r="C23" s="75"/>
      <c r="D23" s="75">
        <f>$W$2</f>
        <v>1.75</v>
      </c>
      <c r="E23" s="75"/>
      <c r="F23" s="75">
        <f>$W$2</f>
        <v>1.75</v>
      </c>
      <c r="G23" s="75"/>
      <c r="H23" s="75">
        <f>$W$2</f>
        <v>1.75</v>
      </c>
      <c r="I23" s="75"/>
      <c r="J23" s="75">
        <f>$W$2</f>
        <v>1.75</v>
      </c>
      <c r="K23" s="75"/>
      <c r="L23" s="75">
        <f>$W$2</f>
        <v>1.75</v>
      </c>
      <c r="M23" s="75"/>
      <c r="N23" s="75">
        <f>$W$2</f>
        <v>1.75</v>
      </c>
      <c r="O23" s="75"/>
      <c r="P23" s="75">
        <f>$W$2</f>
        <v>1.75</v>
      </c>
      <c r="Q23" s="75"/>
      <c r="R23" s="75">
        <f>$W$2</f>
        <v>1.75</v>
      </c>
      <c r="S23" s="75"/>
      <c r="X23" s="3" t="s">
        <v>74</v>
      </c>
      <c r="Y23" s="3">
        <v>1</v>
      </c>
      <c r="Z23" s="3">
        <v>2</v>
      </c>
      <c r="AA23" s="3">
        <v>3</v>
      </c>
      <c r="AB23" s="3">
        <v>4</v>
      </c>
      <c r="AC23" s="3">
        <v>5</v>
      </c>
      <c r="AD23" s="3">
        <v>6</v>
      </c>
      <c r="AE23" s="3">
        <v>7</v>
      </c>
      <c r="AF23" s="3">
        <v>8</v>
      </c>
      <c r="AG23" s="3">
        <v>9</v>
      </c>
    </row>
    <row r="24" spans="1:39" s="2" customFormat="1" ht="18" customHeight="1" x14ac:dyDescent="0.25">
      <c r="A24" s="12" t="s">
        <v>41</v>
      </c>
      <c r="B24" s="76">
        <v>92.5</v>
      </c>
      <c r="C24" s="76"/>
      <c r="D24" s="76">
        <v>92.2</v>
      </c>
      <c r="E24" s="76"/>
      <c r="F24" s="76">
        <v>92.4</v>
      </c>
      <c r="G24" s="76"/>
      <c r="H24" s="76">
        <v>93</v>
      </c>
      <c r="I24" s="76"/>
      <c r="J24" s="76">
        <v>94.5</v>
      </c>
      <c r="K24" s="76"/>
      <c r="L24" s="76">
        <v>94.7</v>
      </c>
      <c r="M24" s="76"/>
      <c r="N24" s="76">
        <v>94.3</v>
      </c>
      <c r="O24" s="76"/>
      <c r="P24" s="76">
        <v>95.3</v>
      </c>
      <c r="Q24" s="76"/>
      <c r="R24" s="76">
        <v>95.1</v>
      </c>
      <c r="S24" s="76"/>
      <c r="V24" s="3"/>
      <c r="W24" s="3"/>
      <c r="X24" s="3" t="s">
        <v>11</v>
      </c>
      <c r="Y24" s="3" t="s">
        <v>75</v>
      </c>
      <c r="Z24" s="3" t="s">
        <v>75</v>
      </c>
      <c r="AA24" s="3" t="s">
        <v>75</v>
      </c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</row>
    <row r="25" spans="1:39" ht="18" customHeight="1" x14ac:dyDescent="0.25">
      <c r="A25" s="9" t="s">
        <v>42</v>
      </c>
      <c r="B25" s="53" t="s">
        <v>43</v>
      </c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7"/>
      <c r="X25" s="3" t="s">
        <v>70</v>
      </c>
      <c r="Y25" s="3" t="s">
        <v>76</v>
      </c>
      <c r="Z25" s="3" t="s">
        <v>77</v>
      </c>
      <c r="AA25" s="3" t="s">
        <v>78</v>
      </c>
    </row>
    <row r="26" spans="1:39" ht="18" customHeight="1" x14ac:dyDescent="0.25">
      <c r="A26" s="9" t="s">
        <v>44</v>
      </c>
      <c r="B26" s="53" t="s">
        <v>45</v>
      </c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7"/>
      <c r="X26" s="3" t="s">
        <v>79</v>
      </c>
      <c r="Y26" s="3">
        <v>8168</v>
      </c>
      <c r="Z26" s="3">
        <v>8168</v>
      </c>
      <c r="AA26" s="3">
        <v>8168</v>
      </c>
      <c r="AB26" s="3">
        <v>8168</v>
      </c>
      <c r="AC26" s="3">
        <v>8168</v>
      </c>
      <c r="AD26" s="3">
        <v>8168</v>
      </c>
      <c r="AE26" s="3">
        <v>8168</v>
      </c>
      <c r="AF26" s="3">
        <v>8168</v>
      </c>
      <c r="AG26" s="3">
        <v>8168</v>
      </c>
    </row>
    <row r="27" spans="1:39" ht="18" customHeight="1" x14ac:dyDescent="0.25">
      <c r="A27" s="9" t="s">
        <v>46</v>
      </c>
      <c r="B27" s="53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7"/>
      <c r="X27" s="3" t="s">
        <v>80</v>
      </c>
      <c r="Y27" s="3">
        <v>5915</v>
      </c>
      <c r="Z27" s="3">
        <v>5877</v>
      </c>
      <c r="AA27" s="3">
        <v>5977</v>
      </c>
      <c r="AB27" s="3">
        <v>6076</v>
      </c>
      <c r="AC27" s="3">
        <v>5802</v>
      </c>
      <c r="AD27" s="3">
        <v>5864</v>
      </c>
      <c r="AE27" s="3">
        <v>5619</v>
      </c>
      <c r="AF27" s="3">
        <v>5743</v>
      </c>
      <c r="AG27" s="3">
        <v>5783</v>
      </c>
    </row>
    <row r="28" spans="1:39" ht="19" customHeight="1" x14ac:dyDescent="0.25">
      <c r="A28" s="13" t="s">
        <v>47</v>
      </c>
      <c r="F28" s="5" t="s">
        <v>48</v>
      </c>
      <c r="K28" s="77" t="s">
        <v>49</v>
      </c>
      <c r="L28" s="77"/>
      <c r="X28" s="3" t="s">
        <v>81</v>
      </c>
      <c r="Y28" s="3">
        <v>771</v>
      </c>
      <c r="Z28" s="3">
        <v>757</v>
      </c>
      <c r="AA28" s="3">
        <v>774</v>
      </c>
      <c r="AB28" s="3">
        <v>743</v>
      </c>
      <c r="AC28" s="3">
        <v>758</v>
      </c>
      <c r="AD28" s="3">
        <v>756</v>
      </c>
      <c r="AE28" s="3">
        <v>757</v>
      </c>
      <c r="AF28" s="3">
        <v>752</v>
      </c>
      <c r="AG28" s="3">
        <v>745</v>
      </c>
    </row>
    <row r="29" spans="1:39" ht="19" customHeight="1" x14ac:dyDescent="0.25">
      <c r="X29" s="3" t="s">
        <v>82</v>
      </c>
      <c r="Y29" s="3">
        <v>1482</v>
      </c>
      <c r="Z29" s="3">
        <v>1534</v>
      </c>
      <c r="AA29" s="3">
        <v>1417</v>
      </c>
      <c r="AB29" s="3">
        <v>1349</v>
      </c>
      <c r="AC29" s="3">
        <v>1608</v>
      </c>
      <c r="AD29" s="3">
        <v>1548</v>
      </c>
      <c r="AE29" s="3">
        <v>1792</v>
      </c>
      <c r="AF29" s="3">
        <v>1673</v>
      </c>
      <c r="AG29" s="3">
        <v>1640</v>
      </c>
    </row>
    <row r="30" spans="1:39" ht="19" customHeight="1" x14ac:dyDescent="0.25">
      <c r="J30" s="3" t="s">
        <v>63</v>
      </c>
      <c r="X30" s="3" t="s">
        <v>83</v>
      </c>
      <c r="Y30" s="3">
        <v>1.41</v>
      </c>
      <c r="Z30" s="3">
        <v>1.41</v>
      </c>
      <c r="AA30" s="3">
        <v>1.41</v>
      </c>
      <c r="AB30" s="3">
        <v>1.41</v>
      </c>
      <c r="AC30" s="3">
        <v>1.41</v>
      </c>
      <c r="AD30" s="3">
        <v>1.41</v>
      </c>
      <c r="AE30" s="3">
        <v>1.41</v>
      </c>
      <c r="AF30" s="3">
        <v>1.41</v>
      </c>
      <c r="AG30" s="3">
        <v>1.41</v>
      </c>
    </row>
    <row r="31" spans="1:39" ht="19" customHeight="1" x14ac:dyDescent="0.25">
      <c r="X31" s="3" t="s">
        <v>84</v>
      </c>
      <c r="Y31" s="3">
        <v>1051</v>
      </c>
      <c r="Z31" s="3">
        <v>1088</v>
      </c>
      <c r="AA31" s="3">
        <v>1005</v>
      </c>
      <c r="AB31" s="3">
        <v>957</v>
      </c>
      <c r="AC31" s="3">
        <v>1140</v>
      </c>
      <c r="AD31" s="3">
        <v>1098</v>
      </c>
      <c r="AE31" s="3">
        <v>1271</v>
      </c>
      <c r="AF31" s="3">
        <v>1187</v>
      </c>
      <c r="AG31" s="3">
        <v>1163</v>
      </c>
    </row>
    <row r="32" spans="1:39" ht="19" customHeight="1" x14ac:dyDescent="0.25">
      <c r="X32" s="3" t="s">
        <v>85</v>
      </c>
      <c r="Y32" s="3">
        <v>2355</v>
      </c>
      <c r="Z32" s="3">
        <v>2409</v>
      </c>
      <c r="AA32" s="3">
        <v>2212</v>
      </c>
      <c r="AB32" s="3">
        <v>2112</v>
      </c>
      <c r="AC32" s="3">
        <v>2543</v>
      </c>
      <c r="AD32" s="3">
        <v>2389</v>
      </c>
      <c r="AE32" s="3">
        <v>2586</v>
      </c>
      <c r="AF32" s="3">
        <v>2456</v>
      </c>
      <c r="AG32" s="3">
        <v>2429</v>
      </c>
    </row>
    <row r="33" spans="2:33" ht="19" customHeight="1" x14ac:dyDescent="0.25">
      <c r="B33" s="69">
        <v>8229</v>
      </c>
      <c r="C33" s="69"/>
      <c r="D33" s="69">
        <f ca="1">B33-RANDBETWEEN(0,20)</f>
        <v>8213</v>
      </c>
      <c r="E33" s="69"/>
      <c r="F33" s="69">
        <f ca="1">D33-RANDBETWEEN(0,20)</f>
        <v>8199</v>
      </c>
      <c r="G33" s="69"/>
      <c r="H33" s="69">
        <f ca="1">F33-RANDBETWEEN(0,20)</f>
        <v>8193</v>
      </c>
      <c r="I33" s="69"/>
      <c r="J33" s="69">
        <f ca="1">H33-RANDBETWEEN(0,20)</f>
        <v>8179</v>
      </c>
      <c r="K33" s="69"/>
      <c r="L33" s="69">
        <f ca="1">J33-RANDBETWEEN(0,20)</f>
        <v>8167</v>
      </c>
      <c r="M33" s="69"/>
      <c r="N33" s="69">
        <f ca="1">L33-RANDBETWEEN(0,20)</f>
        <v>8158</v>
      </c>
      <c r="O33" s="69"/>
      <c r="P33" s="69">
        <f ca="1">N33-RANDBETWEEN(0,20)</f>
        <v>8152</v>
      </c>
      <c r="Q33" s="69"/>
      <c r="R33" s="69">
        <f ca="1">P33-RANDBETWEEN(0,20)</f>
        <v>8141</v>
      </c>
      <c r="S33" s="69"/>
      <c r="X33" s="3" t="s">
        <v>86</v>
      </c>
      <c r="Y33" s="3">
        <v>2.2400000000000002</v>
      </c>
      <c r="Z33" s="3">
        <v>2.21</v>
      </c>
      <c r="AA33" s="3">
        <v>2.2000000000000002</v>
      </c>
      <c r="AB33" s="3">
        <v>2.21</v>
      </c>
      <c r="AC33" s="3">
        <v>2.23</v>
      </c>
      <c r="AD33" s="3">
        <v>2.1800000000000002</v>
      </c>
      <c r="AE33" s="3">
        <v>2.0299999999999998</v>
      </c>
      <c r="AF33" s="3">
        <v>2.0699999999999998</v>
      </c>
      <c r="AG33" s="3">
        <v>2.09</v>
      </c>
    </row>
    <row r="34" spans="2:33" ht="19" customHeight="1" x14ac:dyDescent="0.25">
      <c r="B34" s="155">
        <f ca="1">RANDBETWEEN(2000,2468)</f>
        <v>2308</v>
      </c>
      <c r="C34" s="155"/>
      <c r="D34" s="155">
        <f t="shared" ref="D34" ca="1" si="1">RANDBETWEEN(2000,2468)</f>
        <v>2034</v>
      </c>
      <c r="E34" s="155"/>
      <c r="F34" s="155">
        <f t="shared" ref="F34" ca="1" si="2">RANDBETWEEN(2000,2468)</f>
        <v>2178</v>
      </c>
      <c r="G34" s="155"/>
      <c r="H34" s="155">
        <f t="shared" ref="H34" ca="1" si="3">RANDBETWEEN(2000,2468)</f>
        <v>2345</v>
      </c>
      <c r="I34" s="155"/>
      <c r="J34" s="155">
        <f t="shared" ref="J34" ca="1" si="4">RANDBETWEEN(2000,2468)</f>
        <v>2227</v>
      </c>
      <c r="K34" s="155"/>
      <c r="L34" s="155">
        <f t="shared" ref="L34" ca="1" si="5">RANDBETWEEN(2000,2468)</f>
        <v>2341</v>
      </c>
      <c r="M34" s="155"/>
      <c r="N34" s="155">
        <f t="shared" ref="N34" ca="1" si="6">RANDBETWEEN(2000,2468)</f>
        <v>2403</v>
      </c>
      <c r="O34" s="155"/>
      <c r="P34" s="155">
        <f t="shared" ref="P34" ca="1" si="7">RANDBETWEEN(2000,2468)</f>
        <v>2403</v>
      </c>
      <c r="Q34" s="155"/>
      <c r="R34" s="155">
        <f t="shared" ref="R34" ca="1" si="8">RANDBETWEEN(2000,2468)</f>
        <v>2055</v>
      </c>
      <c r="S34" s="155"/>
      <c r="X34" s="3" t="s">
        <v>34</v>
      </c>
      <c r="Y34" s="3">
        <v>5</v>
      </c>
      <c r="Z34" s="3">
        <v>2</v>
      </c>
      <c r="AA34" s="3">
        <v>15</v>
      </c>
      <c r="AB34" s="3">
        <v>16</v>
      </c>
      <c r="AC34" s="3">
        <v>7</v>
      </c>
      <c r="AD34" s="3">
        <v>9</v>
      </c>
      <c r="AE34" s="3">
        <v>6</v>
      </c>
      <c r="AF34" s="3">
        <v>10</v>
      </c>
      <c r="AG34" s="3">
        <v>1</v>
      </c>
    </row>
    <row r="35" spans="2:33" ht="19" customHeight="1" x14ac:dyDescent="0.25">
      <c r="B35" s="163">
        <f ca="1">RANDBETWEEN(122,150)/10</f>
        <v>12.3</v>
      </c>
      <c r="C35" s="164"/>
      <c r="D35" s="163">
        <f t="shared" ref="D35" ca="1" si="9">RANDBETWEEN(122,150)/10</f>
        <v>13.9</v>
      </c>
      <c r="E35" s="164"/>
      <c r="F35" s="163">
        <f t="shared" ref="F35" ca="1" si="10">RANDBETWEEN(122,150)/10</f>
        <v>12.6</v>
      </c>
      <c r="G35" s="164"/>
      <c r="H35" s="163">
        <f t="shared" ref="H35" ca="1" si="11">RANDBETWEEN(122,150)/10</f>
        <v>12.8</v>
      </c>
      <c r="I35" s="164"/>
      <c r="J35" s="163">
        <f t="shared" ref="J35" ca="1" si="12">RANDBETWEEN(122,150)/10</f>
        <v>14.4</v>
      </c>
      <c r="K35" s="164"/>
      <c r="L35" s="163">
        <f t="shared" ref="L35" ca="1" si="13">RANDBETWEEN(122,150)/10</f>
        <v>12.4</v>
      </c>
      <c r="M35" s="164"/>
      <c r="N35" s="163">
        <f t="shared" ref="N35" ca="1" si="14">RANDBETWEEN(122,150)/10</f>
        <v>12.8</v>
      </c>
      <c r="O35" s="164"/>
      <c r="P35" s="163">
        <f t="shared" ref="P35" ca="1" si="15">RANDBETWEEN(122,150)/10</f>
        <v>14.4</v>
      </c>
      <c r="Q35" s="164"/>
      <c r="R35" s="163">
        <f t="shared" ref="R35" ca="1" si="16">RANDBETWEEN(122,150)/10</f>
        <v>13.6</v>
      </c>
      <c r="S35" s="164"/>
      <c r="X35" s="3" t="s">
        <v>87</v>
      </c>
      <c r="Y35" s="3">
        <v>372</v>
      </c>
      <c r="Z35" s="3">
        <v>375</v>
      </c>
      <c r="AA35" s="3">
        <v>374</v>
      </c>
      <c r="AB35" s="3">
        <v>375</v>
      </c>
      <c r="AC35" s="3">
        <v>388</v>
      </c>
      <c r="AD35" s="3">
        <v>376</v>
      </c>
      <c r="AE35" s="3">
        <v>368</v>
      </c>
      <c r="AF35" s="3">
        <v>377</v>
      </c>
      <c r="AG35" s="3">
        <v>380</v>
      </c>
    </row>
    <row r="36" spans="2:33" ht="19" customHeight="1" x14ac:dyDescent="0.25">
      <c r="B36" s="76">
        <f ca="1">RANDBETWEEN(910,936)/10</f>
        <v>91.9</v>
      </c>
      <c r="C36" s="76"/>
      <c r="D36" s="76">
        <f t="shared" ref="D36" ca="1" si="17">RANDBETWEEN(910,936)/10</f>
        <v>91.4</v>
      </c>
      <c r="E36" s="76"/>
      <c r="F36" s="76">
        <f t="shared" ref="F36" ca="1" si="18">RANDBETWEEN(910,936)/10</f>
        <v>92.6</v>
      </c>
      <c r="G36" s="76"/>
      <c r="H36" s="76">
        <f ca="1">RANDBETWEEN(930,956)/10</f>
        <v>94.9</v>
      </c>
      <c r="I36" s="76"/>
      <c r="J36" s="76">
        <f t="shared" ref="J36" ca="1" si="19">RANDBETWEEN(930,956)/10</f>
        <v>93.7</v>
      </c>
      <c r="K36" s="76"/>
      <c r="L36" s="76">
        <f t="shared" ref="L36" ca="1" si="20">RANDBETWEEN(930,956)/10</f>
        <v>95.4</v>
      </c>
      <c r="M36" s="76"/>
      <c r="N36" s="76">
        <f t="shared" ref="N36" ca="1" si="21">RANDBETWEEN(930,956)/10</f>
        <v>94.7</v>
      </c>
      <c r="O36" s="76"/>
      <c r="P36" s="76">
        <f t="shared" ref="P36" ca="1" si="22">RANDBETWEEN(930,956)/10</f>
        <v>93</v>
      </c>
      <c r="Q36" s="76"/>
      <c r="R36" s="76">
        <f t="shared" ref="R36" ca="1" si="23">RANDBETWEEN(930,956)/10</f>
        <v>94.2</v>
      </c>
      <c r="S36" s="76"/>
      <c r="X36" s="3" t="s">
        <v>88</v>
      </c>
      <c r="Y36" s="3">
        <v>2702</v>
      </c>
      <c r="Z36" s="3">
        <v>2763</v>
      </c>
      <c r="AA36" s="3">
        <v>2565</v>
      </c>
      <c r="AB36" s="3">
        <v>2468</v>
      </c>
      <c r="AC36" s="3">
        <v>2901</v>
      </c>
      <c r="AD36" s="3">
        <v>2760</v>
      </c>
      <c r="AE36" s="3">
        <v>2939</v>
      </c>
      <c r="AF36" s="3">
        <v>2819</v>
      </c>
      <c r="AG36" s="3">
        <v>2801</v>
      </c>
    </row>
    <row r="37" spans="2:33" ht="19" customHeight="1" x14ac:dyDescent="0.25">
      <c r="X37" s="3" t="s">
        <v>89</v>
      </c>
      <c r="Y37" s="3">
        <v>2630</v>
      </c>
      <c r="Z37" s="3">
        <v>2705</v>
      </c>
      <c r="AA37" s="3">
        <v>2485</v>
      </c>
      <c r="AB37" s="3">
        <v>2388</v>
      </c>
      <c r="AC37" s="3">
        <v>2807</v>
      </c>
      <c r="AD37" s="3">
        <v>2702</v>
      </c>
      <c r="AE37" s="3">
        <v>2879</v>
      </c>
      <c r="AF37" s="3">
        <v>2746</v>
      </c>
      <c r="AG37" s="3">
        <v>2744</v>
      </c>
    </row>
    <row r="38" spans="2:33" ht="19" customHeight="1" x14ac:dyDescent="0.25">
      <c r="X38" s="3" t="s">
        <v>90</v>
      </c>
      <c r="Y38" s="3">
        <v>3.2</v>
      </c>
      <c r="Z38" s="3">
        <v>2.5</v>
      </c>
      <c r="AA38" s="3">
        <v>3.8</v>
      </c>
      <c r="AB38" s="3">
        <v>4</v>
      </c>
      <c r="AC38" s="3">
        <v>3.9</v>
      </c>
      <c r="AD38" s="3">
        <v>2.5</v>
      </c>
      <c r="AE38" s="3">
        <v>2.4</v>
      </c>
      <c r="AF38" s="3">
        <v>3.1</v>
      </c>
      <c r="AG38" s="3">
        <v>2.4</v>
      </c>
    </row>
    <row r="39" spans="2:33" ht="19" customHeight="1" x14ac:dyDescent="0.25">
      <c r="X39" s="3" t="s">
        <v>91</v>
      </c>
      <c r="Y39" s="3">
        <v>2.17</v>
      </c>
      <c r="Z39" s="3">
        <v>2.16</v>
      </c>
      <c r="AA39" s="3">
        <v>2.12</v>
      </c>
      <c r="AB39" s="3">
        <v>2.12</v>
      </c>
      <c r="AC39" s="3">
        <v>2.15</v>
      </c>
      <c r="AD39" s="3">
        <v>2.13</v>
      </c>
      <c r="AE39" s="3">
        <v>1.98</v>
      </c>
      <c r="AF39" s="3">
        <v>2.0099999999999998</v>
      </c>
      <c r="AG39" s="3">
        <v>2.04</v>
      </c>
    </row>
    <row r="40" spans="2:33" ht="19" customHeight="1" x14ac:dyDescent="0.25">
      <c r="X40" s="3" t="s">
        <v>92</v>
      </c>
      <c r="Y40" s="3">
        <v>2.31</v>
      </c>
      <c r="Z40" s="3">
        <v>2.31</v>
      </c>
      <c r="AA40" s="3">
        <v>2.31</v>
      </c>
      <c r="AB40" s="3">
        <v>2.31</v>
      </c>
      <c r="AC40" s="3">
        <v>2.31</v>
      </c>
      <c r="AD40" s="3">
        <v>2.31</v>
      </c>
      <c r="AE40" s="3">
        <v>2.31</v>
      </c>
      <c r="AF40" s="3">
        <v>2.31</v>
      </c>
      <c r="AG40" s="3">
        <v>2.31</v>
      </c>
    </row>
    <row r="41" spans="2:33" x14ac:dyDescent="0.25">
      <c r="X41" s="3" t="s">
        <v>93</v>
      </c>
      <c r="Y41" s="3">
        <v>93.9</v>
      </c>
      <c r="Z41" s="3">
        <v>93.5</v>
      </c>
      <c r="AA41" s="3">
        <v>91.8</v>
      </c>
      <c r="AB41" s="3">
        <v>91.8</v>
      </c>
      <c r="AC41" s="3">
        <v>93.1</v>
      </c>
      <c r="AD41" s="3">
        <v>92.2</v>
      </c>
      <c r="AE41" s="3">
        <v>85.7</v>
      </c>
      <c r="AF41" s="3">
        <v>87</v>
      </c>
      <c r="AG41" s="3">
        <v>88.3</v>
      </c>
    </row>
    <row r="43" spans="2:33" ht="26.25" customHeight="1" x14ac:dyDescent="0.25"/>
  </sheetData>
  <mergeCells count="221">
    <mergeCell ref="R35:S35"/>
    <mergeCell ref="B36:C36"/>
    <mergeCell ref="D36:E36"/>
    <mergeCell ref="F36:G36"/>
    <mergeCell ref="H36:I36"/>
    <mergeCell ref="J36:K36"/>
    <mergeCell ref="L36:M36"/>
    <mergeCell ref="N36:O36"/>
    <mergeCell ref="P36:Q36"/>
    <mergeCell ref="R36:S36"/>
    <mergeCell ref="P34:Q34"/>
    <mergeCell ref="R34:S34"/>
    <mergeCell ref="B35:C35"/>
    <mergeCell ref="D35:E35"/>
    <mergeCell ref="F35:G35"/>
    <mergeCell ref="H35:I35"/>
    <mergeCell ref="J35:K35"/>
    <mergeCell ref="L35:M35"/>
    <mergeCell ref="N35:O35"/>
    <mergeCell ref="P35:Q35"/>
    <mergeCell ref="N33:O33"/>
    <mergeCell ref="P33:Q33"/>
    <mergeCell ref="R33:S33"/>
    <mergeCell ref="B34:C34"/>
    <mergeCell ref="D34:E34"/>
    <mergeCell ref="F34:G34"/>
    <mergeCell ref="H34:I34"/>
    <mergeCell ref="J34:K34"/>
    <mergeCell ref="L34:M34"/>
    <mergeCell ref="N34:O34"/>
    <mergeCell ref="K28:L28"/>
    <mergeCell ref="B33:C33"/>
    <mergeCell ref="D33:E33"/>
    <mergeCell ref="F33:G33"/>
    <mergeCell ref="H33:I33"/>
    <mergeCell ref="J33:K33"/>
    <mergeCell ref="L33:M33"/>
    <mergeCell ref="N24:O24"/>
    <mergeCell ref="P24:Q24"/>
    <mergeCell ref="R24:S24"/>
    <mergeCell ref="B25:S25"/>
    <mergeCell ref="B26:S26"/>
    <mergeCell ref="B27:S27"/>
    <mergeCell ref="B24:C24"/>
    <mergeCell ref="D24:E24"/>
    <mergeCell ref="F24:G24"/>
    <mergeCell ref="H24:I24"/>
    <mergeCell ref="J24:K24"/>
    <mergeCell ref="L24:M24"/>
    <mergeCell ref="R22:S22"/>
    <mergeCell ref="B23:C23"/>
    <mergeCell ref="D23:E23"/>
    <mergeCell ref="F23:G23"/>
    <mergeCell ref="H23:I23"/>
    <mergeCell ref="J23:K23"/>
    <mergeCell ref="L23:M23"/>
    <mergeCell ref="N23:O23"/>
    <mergeCell ref="P23:Q23"/>
    <mergeCell ref="R23:S23"/>
    <mergeCell ref="P21:Q21"/>
    <mergeCell ref="R21:S21"/>
    <mergeCell ref="B22:C22"/>
    <mergeCell ref="D22:E22"/>
    <mergeCell ref="F22:G22"/>
    <mergeCell ref="H22:I22"/>
    <mergeCell ref="J22:K22"/>
    <mergeCell ref="L22:M22"/>
    <mergeCell ref="N22:O22"/>
    <mergeCell ref="P22:Q22"/>
    <mergeCell ref="N20:O20"/>
    <mergeCell ref="P20:Q20"/>
    <mergeCell ref="R20:S20"/>
    <mergeCell ref="B21:C21"/>
    <mergeCell ref="D21:E21"/>
    <mergeCell ref="F21:G21"/>
    <mergeCell ref="H21:I21"/>
    <mergeCell ref="J21:K21"/>
    <mergeCell ref="L21:M21"/>
    <mergeCell ref="N21:O21"/>
    <mergeCell ref="B20:C20"/>
    <mergeCell ref="D20:E20"/>
    <mergeCell ref="F20:G20"/>
    <mergeCell ref="H20:I20"/>
    <mergeCell ref="J20:K20"/>
    <mergeCell ref="L20:M20"/>
    <mergeCell ref="R18:S18"/>
    <mergeCell ref="B19:C19"/>
    <mergeCell ref="D19:E19"/>
    <mergeCell ref="F19:G19"/>
    <mergeCell ref="H19:I19"/>
    <mergeCell ref="J19:K19"/>
    <mergeCell ref="L19:M19"/>
    <mergeCell ref="N19:O19"/>
    <mergeCell ref="P19:Q19"/>
    <mergeCell ref="R19:S19"/>
    <mergeCell ref="P17:Q17"/>
    <mergeCell ref="R17:S17"/>
    <mergeCell ref="B18:C18"/>
    <mergeCell ref="D18:E18"/>
    <mergeCell ref="F18:G18"/>
    <mergeCell ref="H18:I18"/>
    <mergeCell ref="J18:K18"/>
    <mergeCell ref="L18:M18"/>
    <mergeCell ref="N18:O18"/>
    <mergeCell ref="P18:Q18"/>
    <mergeCell ref="N16:O16"/>
    <mergeCell ref="P16:Q16"/>
    <mergeCell ref="R16:S16"/>
    <mergeCell ref="B17:C17"/>
    <mergeCell ref="D17:E17"/>
    <mergeCell ref="F17:G17"/>
    <mergeCell ref="H17:I17"/>
    <mergeCell ref="J17:K17"/>
    <mergeCell ref="L17:M17"/>
    <mergeCell ref="N17:O17"/>
    <mergeCell ref="B16:C16"/>
    <mergeCell ref="D16:E16"/>
    <mergeCell ref="F16:G16"/>
    <mergeCell ref="H16:I16"/>
    <mergeCell ref="J16:K16"/>
    <mergeCell ref="L16:M16"/>
    <mergeCell ref="R14:S14"/>
    <mergeCell ref="B15:C15"/>
    <mergeCell ref="D15:E15"/>
    <mergeCell ref="F15:G15"/>
    <mergeCell ref="H15:I15"/>
    <mergeCell ref="J15:K15"/>
    <mergeCell ref="L15:M15"/>
    <mergeCell ref="N15:O15"/>
    <mergeCell ref="P15:Q15"/>
    <mergeCell ref="R15:S15"/>
    <mergeCell ref="P13:Q13"/>
    <mergeCell ref="R13:S13"/>
    <mergeCell ref="B14:C14"/>
    <mergeCell ref="D14:E14"/>
    <mergeCell ref="F14:G14"/>
    <mergeCell ref="H14:I14"/>
    <mergeCell ref="J14:K14"/>
    <mergeCell ref="L14:M14"/>
    <mergeCell ref="N14:O14"/>
    <mergeCell ref="P14:Q14"/>
    <mergeCell ref="N12:O12"/>
    <mergeCell ref="P12:Q12"/>
    <mergeCell ref="R12:S12"/>
    <mergeCell ref="B13:C13"/>
    <mergeCell ref="D13:E13"/>
    <mergeCell ref="F13:G13"/>
    <mergeCell ref="H13:I13"/>
    <mergeCell ref="J13:K13"/>
    <mergeCell ref="L13:M13"/>
    <mergeCell ref="N13:O13"/>
    <mergeCell ref="B12:C12"/>
    <mergeCell ref="D12:E12"/>
    <mergeCell ref="F12:G12"/>
    <mergeCell ref="H12:I12"/>
    <mergeCell ref="J12:K12"/>
    <mergeCell ref="L12:M12"/>
    <mergeCell ref="R10:S10"/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P9:Q9"/>
    <mergeCell ref="R9:S9"/>
    <mergeCell ref="B10:C10"/>
    <mergeCell ref="D10:E10"/>
    <mergeCell ref="F10:G10"/>
    <mergeCell ref="H10:I10"/>
    <mergeCell ref="J10:K10"/>
    <mergeCell ref="L10:M10"/>
    <mergeCell ref="N10:O10"/>
    <mergeCell ref="P10:Q10"/>
    <mergeCell ref="N8:O8"/>
    <mergeCell ref="P8:Q8"/>
    <mergeCell ref="R8:S8"/>
    <mergeCell ref="B9:C9"/>
    <mergeCell ref="D9:E9"/>
    <mergeCell ref="F9:G9"/>
    <mergeCell ref="H9:I9"/>
    <mergeCell ref="J9:K9"/>
    <mergeCell ref="L9:M9"/>
    <mergeCell ref="N9:O9"/>
    <mergeCell ref="B8:C8"/>
    <mergeCell ref="D8:E8"/>
    <mergeCell ref="F8:G8"/>
    <mergeCell ref="H8:I8"/>
    <mergeCell ref="J8:K8"/>
    <mergeCell ref="L8:M8"/>
    <mergeCell ref="R6:S6"/>
    <mergeCell ref="B7:C7"/>
    <mergeCell ref="D7:E7"/>
    <mergeCell ref="F7:G7"/>
    <mergeCell ref="H7:I7"/>
    <mergeCell ref="J7:K7"/>
    <mergeCell ref="L7:M7"/>
    <mergeCell ref="N7:O7"/>
    <mergeCell ref="P7:Q7"/>
    <mergeCell ref="R7:S7"/>
    <mergeCell ref="B4:S4"/>
    <mergeCell ref="B5:S5"/>
    <mergeCell ref="B6:C6"/>
    <mergeCell ref="D6:E6"/>
    <mergeCell ref="F6:G6"/>
    <mergeCell ref="H6:I6"/>
    <mergeCell ref="J6:K6"/>
    <mergeCell ref="L6:M6"/>
    <mergeCell ref="N6:O6"/>
    <mergeCell ref="P6:Q6"/>
    <mergeCell ref="A1:M1"/>
    <mergeCell ref="N1:Q1"/>
    <mergeCell ref="R1:U1"/>
    <mergeCell ref="A2:U2"/>
    <mergeCell ref="A3:C3"/>
    <mergeCell ref="D3:G3"/>
    <mergeCell ref="J3:L3"/>
    <mergeCell ref="M3:S3"/>
  </mergeCells>
  <phoneticPr fontId="31" type="noConversion"/>
  <printOptions horizontalCentered="1"/>
  <pageMargins left="0.55118110236220497" right="0.55118110236220497" top="0.39370078740157499" bottom="0.196850393700787" header="0.511811023622047" footer="0.511811023622047"/>
  <pageSetup paperSize="9" orientation="landscape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62E52-32CA-4BEE-90AB-1852AE7F4527}">
  <dimension ref="A1:AM43"/>
  <sheetViews>
    <sheetView workbookViewId="0">
      <selection activeCell="O43" sqref="O43"/>
    </sheetView>
  </sheetViews>
  <sheetFormatPr defaultColWidth="9" defaultRowHeight="15" x14ac:dyDescent="0.25"/>
  <cols>
    <col min="1" max="1" width="24.58203125" style="3" customWidth="1"/>
    <col min="2" max="19" width="5.58203125" style="3" customWidth="1"/>
    <col min="20" max="21" width="9" style="3"/>
    <col min="22" max="22" width="10.4140625" style="3" customWidth="1"/>
    <col min="23" max="16384" width="9" style="3"/>
  </cols>
  <sheetData>
    <row r="1" spans="1:25" ht="17.5" x14ac:dyDescent="0.25">
      <c r="A1" s="39" t="s">
        <v>59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40" t="s">
        <v>1</v>
      </c>
      <c r="O1" s="40"/>
      <c r="P1" s="40"/>
      <c r="Q1" s="40"/>
      <c r="R1" s="40"/>
      <c r="S1" s="40"/>
      <c r="T1" s="40"/>
      <c r="U1" s="40"/>
    </row>
    <row r="2" spans="1:25" ht="23" x14ac:dyDescent="0.25">
      <c r="A2" s="41" t="s">
        <v>2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" t="s">
        <v>65</v>
      </c>
      <c r="W2" s="4">
        <v>1.75</v>
      </c>
    </row>
    <row r="3" spans="1:25" ht="19" customHeight="1" x14ac:dyDescent="0.25">
      <c r="A3" s="42" t="s">
        <v>60</v>
      </c>
      <c r="B3" s="42"/>
      <c r="C3" s="42"/>
      <c r="D3" s="42"/>
      <c r="E3" s="42"/>
      <c r="F3" s="42"/>
      <c r="G3" s="42"/>
      <c r="H3" s="5" t="s">
        <v>4</v>
      </c>
      <c r="J3" s="43" t="s">
        <v>5</v>
      </c>
      <c r="K3" s="43"/>
      <c r="L3" s="43"/>
      <c r="M3" s="44" t="s">
        <v>61</v>
      </c>
      <c r="N3" s="44"/>
      <c r="O3" s="44"/>
      <c r="P3" s="44"/>
      <c r="Q3" s="44"/>
      <c r="R3" s="44"/>
      <c r="S3" s="44"/>
      <c r="V3" s="6">
        <v>1</v>
      </c>
      <c r="W3" s="6">
        <v>380</v>
      </c>
      <c r="X3" s="7">
        <v>3</v>
      </c>
      <c r="Y3" s="8">
        <f ca="1">RANDBETWEEN(0,5)</f>
        <v>5</v>
      </c>
    </row>
    <row r="4" spans="1:25" ht="19" customHeight="1" x14ac:dyDescent="0.25">
      <c r="A4" s="9" t="s">
        <v>7</v>
      </c>
      <c r="B4" s="53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7"/>
      <c r="V4" s="6">
        <v>2</v>
      </c>
      <c r="W4" s="6">
        <v>375</v>
      </c>
      <c r="X4" s="7">
        <v>2</v>
      </c>
      <c r="Y4" s="8">
        <f t="shared" ref="Y4:Y17" ca="1" si="0">RANDBETWEEN(0,5)</f>
        <v>2</v>
      </c>
    </row>
    <row r="5" spans="1:25" ht="19" customHeight="1" x14ac:dyDescent="0.25">
      <c r="A5" s="9" t="s">
        <v>9</v>
      </c>
      <c r="B5" s="53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7"/>
      <c r="V5" s="6">
        <v>3</v>
      </c>
      <c r="W5" s="6">
        <v>371</v>
      </c>
      <c r="X5" s="7">
        <v>0</v>
      </c>
      <c r="Y5" s="8">
        <f t="shared" ca="1" si="0"/>
        <v>0</v>
      </c>
    </row>
    <row r="6" spans="1:25" ht="18" customHeight="1" x14ac:dyDescent="0.25">
      <c r="A6" s="9" t="s">
        <v>11</v>
      </c>
      <c r="B6" s="58"/>
      <c r="C6" s="59"/>
      <c r="D6" s="58"/>
      <c r="E6" s="59"/>
      <c r="F6" s="58"/>
      <c r="G6" s="59"/>
      <c r="H6" s="58"/>
      <c r="I6" s="59"/>
      <c r="J6" s="58"/>
      <c r="K6" s="59"/>
      <c r="L6" s="53"/>
      <c r="M6" s="47"/>
      <c r="N6" s="53"/>
      <c r="O6" s="47"/>
      <c r="P6" s="53"/>
      <c r="Q6" s="47"/>
      <c r="R6" s="53"/>
      <c r="S6" s="47"/>
      <c r="V6" s="6">
        <v>4</v>
      </c>
      <c r="W6" s="6">
        <v>364</v>
      </c>
      <c r="X6" s="7">
        <v>1</v>
      </c>
      <c r="Y6" s="8">
        <f t="shared" ca="1" si="0"/>
        <v>2</v>
      </c>
    </row>
    <row r="7" spans="1:25" ht="18" customHeight="1" x14ac:dyDescent="0.25">
      <c r="A7" s="9" t="s">
        <v>62</v>
      </c>
      <c r="B7" s="58"/>
      <c r="C7" s="59"/>
      <c r="D7" s="58"/>
      <c r="E7" s="59"/>
      <c r="F7" s="58"/>
      <c r="G7" s="59"/>
      <c r="H7" s="58"/>
      <c r="I7" s="59"/>
      <c r="J7" s="58"/>
      <c r="K7" s="59"/>
      <c r="L7" s="53"/>
      <c r="M7" s="47"/>
      <c r="N7" s="53"/>
      <c r="O7" s="47"/>
      <c r="P7" s="53"/>
      <c r="Q7" s="47"/>
      <c r="R7" s="53"/>
      <c r="S7" s="47"/>
      <c r="V7" s="6">
        <v>5</v>
      </c>
      <c r="W7" s="6">
        <v>372</v>
      </c>
      <c r="X7" s="7">
        <v>4</v>
      </c>
      <c r="Y7" s="8">
        <f t="shared" ca="1" si="0"/>
        <v>0</v>
      </c>
    </row>
    <row r="8" spans="1:25" ht="18" customHeight="1" x14ac:dyDescent="0.25">
      <c r="A8" s="9" t="s">
        <v>24</v>
      </c>
      <c r="B8" s="57">
        <v>1</v>
      </c>
      <c r="C8" s="57"/>
      <c r="D8" s="58">
        <v>2</v>
      </c>
      <c r="E8" s="59"/>
      <c r="F8" s="58">
        <v>3</v>
      </c>
      <c r="G8" s="59"/>
      <c r="H8" s="60">
        <v>4</v>
      </c>
      <c r="I8" s="61"/>
      <c r="J8" s="60">
        <v>5</v>
      </c>
      <c r="K8" s="61"/>
      <c r="L8" s="62">
        <v>6</v>
      </c>
      <c r="M8" s="63"/>
      <c r="N8" s="62">
        <v>7</v>
      </c>
      <c r="O8" s="63"/>
      <c r="P8" s="53">
        <v>8</v>
      </c>
      <c r="Q8" s="47"/>
      <c r="R8" s="53">
        <v>9</v>
      </c>
      <c r="S8" s="47"/>
      <c r="V8" s="6">
        <v>6</v>
      </c>
      <c r="W8" s="6">
        <v>368</v>
      </c>
      <c r="X8" s="7">
        <v>2</v>
      </c>
      <c r="Y8" s="8">
        <f t="shared" ca="1" si="0"/>
        <v>1</v>
      </c>
    </row>
    <row r="9" spans="1:25" ht="18" customHeight="1" x14ac:dyDescent="0.25">
      <c r="A9" s="9" t="s">
        <v>25</v>
      </c>
      <c r="B9" s="69">
        <v>8229</v>
      </c>
      <c r="C9" s="69"/>
      <c r="D9" s="69">
        <v>8213</v>
      </c>
      <c r="E9" s="69"/>
      <c r="F9" s="69">
        <v>8209</v>
      </c>
      <c r="G9" s="69"/>
      <c r="H9" s="69">
        <v>8207</v>
      </c>
      <c r="I9" s="69"/>
      <c r="J9" s="69">
        <v>8196</v>
      </c>
      <c r="K9" s="69"/>
      <c r="L9" s="69">
        <v>8196</v>
      </c>
      <c r="M9" s="69"/>
      <c r="N9" s="69">
        <v>8176</v>
      </c>
      <c r="O9" s="69"/>
      <c r="P9" s="69">
        <v>8175</v>
      </c>
      <c r="Q9" s="69"/>
      <c r="R9" s="69">
        <v>8175</v>
      </c>
      <c r="S9" s="69"/>
      <c r="V9" s="6">
        <v>7</v>
      </c>
      <c r="W9" s="6">
        <v>388</v>
      </c>
      <c r="X9" s="7">
        <v>3</v>
      </c>
      <c r="Y9" s="8">
        <f t="shared" ca="1" si="0"/>
        <v>5</v>
      </c>
    </row>
    <row r="10" spans="1:25" ht="18" customHeight="1" x14ac:dyDescent="0.25">
      <c r="A10" s="9" t="s">
        <v>26</v>
      </c>
      <c r="B10" s="150">
        <f>ROUND(B9-B11-B12,0)</f>
        <v>5785</v>
      </c>
      <c r="C10" s="151"/>
      <c r="D10" s="150">
        <f>ROUND(D9-D11-D12,0)</f>
        <v>5580</v>
      </c>
      <c r="E10" s="151"/>
      <c r="F10" s="150">
        <f>ROUND(F9-F11-F12,0)</f>
        <v>5827</v>
      </c>
      <c r="G10" s="151"/>
      <c r="H10" s="150">
        <f>ROUND(H9-H11-H12,0)</f>
        <v>5612</v>
      </c>
      <c r="I10" s="151"/>
      <c r="J10" s="150">
        <f>ROUND(J9-J11-J12,0)</f>
        <v>5955</v>
      </c>
      <c r="K10" s="151"/>
      <c r="L10" s="150">
        <f>ROUND(L9-L11-L12,0)</f>
        <v>5955</v>
      </c>
      <c r="M10" s="151"/>
      <c r="N10" s="150">
        <f>ROUND(N9-N11-N12,0)</f>
        <v>5818</v>
      </c>
      <c r="O10" s="151"/>
      <c r="P10" s="150">
        <f>ROUND(P9-P11-P12,0)</f>
        <v>5949</v>
      </c>
      <c r="Q10" s="151"/>
      <c r="R10" s="150">
        <f>ROUND(R9-R11-R12,0)</f>
        <v>5812</v>
      </c>
      <c r="S10" s="151"/>
      <c r="V10" s="6">
        <v>8</v>
      </c>
      <c r="W10" s="6">
        <v>359</v>
      </c>
      <c r="X10" s="7">
        <v>5</v>
      </c>
      <c r="Y10" s="8">
        <f t="shared" ca="1" si="0"/>
        <v>3</v>
      </c>
    </row>
    <row r="11" spans="1:25" ht="26.25" customHeight="1" x14ac:dyDescent="0.25">
      <c r="A11" s="10" t="s">
        <v>27</v>
      </c>
      <c r="B11" s="152">
        <v>730</v>
      </c>
      <c r="C11" s="152"/>
      <c r="D11" s="152">
        <v>730</v>
      </c>
      <c r="E11" s="152"/>
      <c r="F11" s="152">
        <v>730</v>
      </c>
      <c r="G11" s="152"/>
      <c r="H11" s="152">
        <v>730</v>
      </c>
      <c r="I11" s="152"/>
      <c r="J11" s="152">
        <v>730</v>
      </c>
      <c r="K11" s="152"/>
      <c r="L11" s="152">
        <v>730</v>
      </c>
      <c r="M11" s="152"/>
      <c r="N11" s="152">
        <v>730</v>
      </c>
      <c r="O11" s="152"/>
      <c r="P11" s="152">
        <v>730</v>
      </c>
      <c r="Q11" s="152"/>
      <c r="R11" s="152">
        <v>730</v>
      </c>
      <c r="S11" s="152"/>
      <c r="V11" s="6">
        <v>9</v>
      </c>
      <c r="W11" s="6">
        <v>376</v>
      </c>
      <c r="X11" s="7">
        <v>0</v>
      </c>
      <c r="Y11" s="8">
        <f t="shared" ca="1" si="0"/>
        <v>2</v>
      </c>
    </row>
    <row r="12" spans="1:25" ht="18" customHeight="1" x14ac:dyDescent="0.25">
      <c r="A12" s="9" t="s">
        <v>28</v>
      </c>
      <c r="B12" s="152">
        <f>B14*B13</f>
        <v>1714.2610477126891</v>
      </c>
      <c r="C12" s="152"/>
      <c r="D12" s="152">
        <f>D14*D13</f>
        <v>1903.1091829356471</v>
      </c>
      <c r="E12" s="152"/>
      <c r="F12" s="152">
        <f>F14*F13</f>
        <v>1651.6516020837321</v>
      </c>
      <c r="G12" s="152"/>
      <c r="H12" s="152">
        <f>H14*H13</f>
        <v>1864.5895355001835</v>
      </c>
      <c r="I12" s="152"/>
      <c r="J12" s="152">
        <f>J14*J13</f>
        <v>1510.6555985095947</v>
      </c>
      <c r="K12" s="152"/>
      <c r="L12" s="152">
        <f>L14*L13</f>
        <v>1510.5556922930346</v>
      </c>
      <c r="M12" s="152"/>
      <c r="N12" s="152">
        <f>N14*N13</f>
        <v>1628.3985175829164</v>
      </c>
      <c r="O12" s="152"/>
      <c r="P12" s="152">
        <f>P14*P13</f>
        <v>1496.0249545070023</v>
      </c>
      <c r="Q12" s="152"/>
      <c r="R12" s="152">
        <f>R14*R13</f>
        <v>1632.5934403638616</v>
      </c>
      <c r="S12" s="152"/>
      <c r="V12" s="6">
        <v>10</v>
      </c>
      <c r="W12" s="6">
        <v>377</v>
      </c>
      <c r="X12" s="7">
        <v>3</v>
      </c>
      <c r="Y12" s="8">
        <f t="shared" ca="1" si="0"/>
        <v>4</v>
      </c>
    </row>
    <row r="13" spans="1:25" ht="18" customHeight="1" x14ac:dyDescent="0.25">
      <c r="A13" s="9" t="s">
        <v>29</v>
      </c>
      <c r="B13" s="153">
        <v>1.41</v>
      </c>
      <c r="C13" s="153"/>
      <c r="D13" s="153">
        <v>1.41</v>
      </c>
      <c r="E13" s="153"/>
      <c r="F13" s="153">
        <v>1.41</v>
      </c>
      <c r="G13" s="153"/>
      <c r="H13" s="153">
        <v>1.41</v>
      </c>
      <c r="I13" s="153"/>
      <c r="J13" s="153">
        <v>1.41</v>
      </c>
      <c r="K13" s="153"/>
      <c r="L13" s="153">
        <v>1.41</v>
      </c>
      <c r="M13" s="153"/>
      <c r="N13" s="153">
        <v>1.41</v>
      </c>
      <c r="O13" s="153"/>
      <c r="P13" s="153">
        <v>1.41</v>
      </c>
      <c r="Q13" s="153"/>
      <c r="R13" s="153">
        <v>1.41</v>
      </c>
      <c r="S13" s="153"/>
      <c r="V13" s="6">
        <v>11</v>
      </c>
      <c r="W13" s="6">
        <v>368</v>
      </c>
      <c r="X13" s="7">
        <v>5</v>
      </c>
      <c r="Y13" s="8">
        <f t="shared" ca="1" si="0"/>
        <v>1</v>
      </c>
    </row>
    <row r="14" spans="1:25" ht="18" customHeight="1" x14ac:dyDescent="0.25">
      <c r="A14" s="9" t="s">
        <v>31</v>
      </c>
      <c r="B14" s="154">
        <f>B15/B16</f>
        <v>1215.7879771011981</v>
      </c>
      <c r="C14" s="152"/>
      <c r="D14" s="154">
        <f>D15/D16</f>
        <v>1349.7228247770547</v>
      </c>
      <c r="E14" s="152"/>
      <c r="F14" s="154">
        <f>F15/F16</f>
        <v>1171.3841149530015</v>
      </c>
      <c r="G14" s="152"/>
      <c r="H14" s="154">
        <f>H15/H16</f>
        <v>1322.4039258866551</v>
      </c>
      <c r="I14" s="152"/>
      <c r="J14" s="154">
        <f>J15/J16</f>
        <v>1071.386949297585</v>
      </c>
      <c r="K14" s="152"/>
      <c r="L14" s="154">
        <f>L15/L16</f>
        <v>1071.3160938248473</v>
      </c>
      <c r="M14" s="152"/>
      <c r="N14" s="154">
        <f>N15/N16</f>
        <v>1154.8925656616429</v>
      </c>
      <c r="O14" s="152"/>
      <c r="P14" s="154">
        <f>P15/P16</f>
        <v>1061.0106060333351</v>
      </c>
      <c r="Q14" s="152"/>
      <c r="R14" s="154">
        <f>R15/R16</f>
        <v>1157.8676882013203</v>
      </c>
      <c r="S14" s="152"/>
      <c r="V14" s="6">
        <v>12</v>
      </c>
      <c r="W14" s="6">
        <v>369</v>
      </c>
      <c r="X14" s="7">
        <v>1</v>
      </c>
      <c r="Y14" s="8">
        <f t="shared" ca="1" si="0"/>
        <v>4</v>
      </c>
    </row>
    <row r="15" spans="1:25" ht="18" customHeight="1" x14ac:dyDescent="0.25">
      <c r="A15" s="9" t="s">
        <v>32</v>
      </c>
      <c r="B15" s="155">
        <v>2218</v>
      </c>
      <c r="C15" s="155"/>
      <c r="D15" s="155">
        <v>2450</v>
      </c>
      <c r="E15" s="155"/>
      <c r="F15" s="155">
        <v>2129</v>
      </c>
      <c r="G15" s="155"/>
      <c r="H15" s="155">
        <v>2432</v>
      </c>
      <c r="I15" s="155"/>
      <c r="J15" s="155">
        <v>2011</v>
      </c>
      <c r="K15" s="155"/>
      <c r="L15" s="155">
        <v>2024</v>
      </c>
      <c r="M15" s="155"/>
      <c r="N15" s="155">
        <v>2146</v>
      </c>
      <c r="O15" s="155"/>
      <c r="P15" s="155">
        <v>2019</v>
      </c>
      <c r="Q15" s="155"/>
      <c r="R15" s="155">
        <v>2164</v>
      </c>
      <c r="S15" s="155"/>
      <c r="V15" s="6">
        <v>13</v>
      </c>
      <c r="W15" s="6">
        <v>367</v>
      </c>
      <c r="X15" s="7">
        <v>0</v>
      </c>
      <c r="Y15" s="8">
        <f t="shared" ca="1" si="0"/>
        <v>0</v>
      </c>
    </row>
    <row r="16" spans="1:25" ht="18" customHeight="1" x14ac:dyDescent="0.25">
      <c r="A16" s="9" t="s">
        <v>33</v>
      </c>
      <c r="B16" s="156">
        <f>B22*(1+B21/100)</f>
        <v>1.82433125</v>
      </c>
      <c r="C16" s="156"/>
      <c r="D16" s="156">
        <f>D22*(1+D21/100)</f>
        <v>1.8151875</v>
      </c>
      <c r="E16" s="156"/>
      <c r="F16" s="156">
        <f>F22*(1+F21/100)</f>
        <v>1.8175080000000003</v>
      </c>
      <c r="G16" s="156"/>
      <c r="H16" s="156">
        <f>H22*(1+H21/100)</f>
        <v>1.8390749999999998</v>
      </c>
      <c r="I16" s="156"/>
      <c r="J16" s="156">
        <f>J22*(1+J21/100)</f>
        <v>1.87700625</v>
      </c>
      <c r="K16" s="156"/>
      <c r="L16" s="156">
        <f>L22*(1+L21/100)</f>
        <v>1.889265</v>
      </c>
      <c r="M16" s="156"/>
      <c r="N16" s="156">
        <f>N22*(1+N21/100)</f>
        <v>1.8581814999999997</v>
      </c>
      <c r="O16" s="156"/>
      <c r="P16" s="156">
        <f>P22*(1+P21/100)</f>
        <v>1.9029027500000002</v>
      </c>
      <c r="Q16" s="156"/>
      <c r="R16" s="156">
        <f>R22*(1+R21/100)</f>
        <v>1.8689527499999998</v>
      </c>
      <c r="S16" s="156"/>
      <c r="V16" s="6">
        <v>14</v>
      </c>
      <c r="W16" s="6">
        <v>382</v>
      </c>
      <c r="X16" s="7">
        <v>0</v>
      </c>
      <c r="Y16" s="8">
        <f t="shared" ca="1" si="0"/>
        <v>4</v>
      </c>
    </row>
    <row r="17" spans="1:39" ht="18" customHeight="1" x14ac:dyDescent="0.25">
      <c r="A17" s="9" t="s">
        <v>34</v>
      </c>
      <c r="B17" s="157">
        <v>5</v>
      </c>
      <c r="C17" s="158"/>
      <c r="D17" s="157">
        <v>3</v>
      </c>
      <c r="E17" s="158"/>
      <c r="F17" s="157">
        <v>2</v>
      </c>
      <c r="G17" s="158"/>
      <c r="H17" s="157">
        <v>1</v>
      </c>
      <c r="I17" s="158"/>
      <c r="J17" s="157">
        <v>7</v>
      </c>
      <c r="K17" s="158"/>
      <c r="L17" s="157">
        <v>4</v>
      </c>
      <c r="M17" s="158"/>
      <c r="N17" s="157">
        <v>8</v>
      </c>
      <c r="O17" s="158"/>
      <c r="P17" s="157">
        <v>9</v>
      </c>
      <c r="Q17" s="158"/>
      <c r="R17" s="157">
        <v>12</v>
      </c>
      <c r="S17" s="158"/>
      <c r="V17" s="6">
        <v>15</v>
      </c>
      <c r="W17" s="6">
        <v>374</v>
      </c>
      <c r="X17" s="7">
        <v>0</v>
      </c>
      <c r="Y17" s="8">
        <f t="shared" ca="1" si="0"/>
        <v>4</v>
      </c>
    </row>
    <row r="18" spans="1:39" ht="18" customHeight="1" x14ac:dyDescent="0.25">
      <c r="A18" s="9" t="s">
        <v>35</v>
      </c>
      <c r="B18" s="150" cm="1">
        <f t="array" ref="B18">INDEX($W:$W,B17+2)</f>
        <v>372</v>
      </c>
      <c r="C18" s="151"/>
      <c r="D18" s="150" cm="1">
        <f t="array" ref="D18">INDEX($W:$W,D17+2)</f>
        <v>371</v>
      </c>
      <c r="E18" s="151"/>
      <c r="F18" s="150" cm="1">
        <f t="array" ref="F18">INDEX($W:$W,F17+2)</f>
        <v>375</v>
      </c>
      <c r="G18" s="151"/>
      <c r="H18" s="150" cm="1">
        <f t="array" ref="H18">INDEX($W:$W,H17+2)</f>
        <v>380</v>
      </c>
      <c r="I18" s="151"/>
      <c r="J18" s="150" cm="1">
        <f t="array" ref="J18">INDEX($W:$W,J17+2)</f>
        <v>388</v>
      </c>
      <c r="K18" s="151"/>
      <c r="L18" s="150" cm="1">
        <f t="array" ref="L18">INDEX($W:$W,L17+2)</f>
        <v>364</v>
      </c>
      <c r="M18" s="151"/>
      <c r="N18" s="150" cm="1">
        <f t="array" ref="N18">INDEX($W:$W,N17+2)</f>
        <v>359</v>
      </c>
      <c r="O18" s="151"/>
      <c r="P18" s="150" cm="1">
        <f t="array" ref="P18">INDEX($W:$W,P17+2)</f>
        <v>376</v>
      </c>
      <c r="Q18" s="151"/>
      <c r="R18" s="150" cm="1">
        <f t="array" ref="R18">INDEX($W:$W,R17+2)</f>
        <v>369</v>
      </c>
      <c r="S18" s="151"/>
    </row>
    <row r="19" spans="1:39" ht="18" customHeight="1" x14ac:dyDescent="0.25">
      <c r="A19" s="9" t="s">
        <v>36</v>
      </c>
      <c r="B19" s="150" cm="1">
        <f t="array" ref="B19">B18+B15-INDEX($X:$X,B17+2)</f>
        <v>2586</v>
      </c>
      <c r="C19" s="151"/>
      <c r="D19" s="150" cm="1">
        <f t="array" ref="D19">D18+D15-INDEX($X:$X,D17+2)</f>
        <v>2821</v>
      </c>
      <c r="E19" s="151"/>
      <c r="F19" s="150" cm="1">
        <f t="array" ref="F19">F18+F15-INDEX($X:$X,F17+2)</f>
        <v>2502</v>
      </c>
      <c r="G19" s="151"/>
      <c r="H19" s="150" cm="1">
        <f t="array" ref="H19">H18+H15-INDEX($X:$X,H17+2)</f>
        <v>2809</v>
      </c>
      <c r="I19" s="151"/>
      <c r="J19" s="150" cm="1">
        <f t="array" ref="J19">J18+J15-INDEX($X:$X,J17+2)</f>
        <v>2396</v>
      </c>
      <c r="K19" s="151"/>
      <c r="L19" s="150" cm="1">
        <f t="array" ref="L19">L18+L15-INDEX($X:$X,L17+2)</f>
        <v>2387</v>
      </c>
      <c r="M19" s="151"/>
      <c r="N19" s="150" cm="1">
        <f t="array" ref="N19">N18+N15-INDEX($X:$X,N17+2)</f>
        <v>2500</v>
      </c>
      <c r="O19" s="151"/>
      <c r="P19" s="150" cm="1">
        <f t="array" ref="P19">P18+P15-INDEX($X:$X,P17+2)</f>
        <v>2395</v>
      </c>
      <c r="Q19" s="151"/>
      <c r="R19" s="150" cm="1">
        <f t="array" ref="R19">R18+R15-INDEX($X:$X,R17+2)</f>
        <v>2532</v>
      </c>
      <c r="S19" s="151"/>
    </row>
    <row r="20" spans="1:39" ht="18" customHeight="1" x14ac:dyDescent="0.25">
      <c r="A20" s="9" t="s">
        <v>37</v>
      </c>
      <c r="B20" s="159">
        <f>ROUND((B19+B21/100*B18)/(B21/100+1),0)</f>
        <v>2337</v>
      </c>
      <c r="C20" s="160"/>
      <c r="D20" s="159">
        <f>ROUND((D19+D21/100*D18)/(D21/100+1),0)</f>
        <v>2549</v>
      </c>
      <c r="E20" s="160"/>
      <c r="F20" s="159">
        <f>ROUND((F19+F21/100*F18)/(F21/100+1),0)</f>
        <v>2267</v>
      </c>
      <c r="G20" s="160"/>
      <c r="H20" s="159">
        <f>ROUND((H19+H21/100*H18)/(H21/100+1),0)</f>
        <v>2530</v>
      </c>
      <c r="I20" s="160"/>
      <c r="J20" s="159">
        <f>ROUND((J19+J21/100*J18)/(J21/100+1),0)</f>
        <v>2157</v>
      </c>
      <c r="K20" s="160"/>
      <c r="L20" s="159">
        <f>ROUND((L19+L21/100*L18)/(L21/100+1),0)</f>
        <v>2139</v>
      </c>
      <c r="M20" s="160"/>
      <c r="N20" s="159">
        <f>ROUND((N19+N21/100*N18)/(N21/100+1),0)</f>
        <v>2260</v>
      </c>
      <c r="O20" s="160"/>
      <c r="P20" s="159">
        <f>ROUND((P19+P21/100*P18)/(P21/100+1),0)</f>
        <v>2146</v>
      </c>
      <c r="Q20" s="160"/>
      <c r="R20" s="159">
        <f>ROUND((R19+R21/100*R18)/(R21/100+1),0)</f>
        <v>2295</v>
      </c>
      <c r="S20" s="160"/>
    </row>
    <row r="21" spans="1:39" s="1" customFormat="1" ht="18" customHeight="1" x14ac:dyDescent="0.25">
      <c r="A21" s="11" t="s">
        <v>38</v>
      </c>
      <c r="B21" s="161">
        <v>12.7</v>
      </c>
      <c r="C21" s="162"/>
      <c r="D21" s="161">
        <v>12.5</v>
      </c>
      <c r="E21" s="162"/>
      <c r="F21" s="161">
        <v>12.4</v>
      </c>
      <c r="G21" s="162"/>
      <c r="H21" s="161">
        <v>13</v>
      </c>
      <c r="I21" s="162"/>
      <c r="J21" s="161">
        <v>13.5</v>
      </c>
      <c r="K21" s="162"/>
      <c r="L21" s="161">
        <v>14</v>
      </c>
      <c r="M21" s="162"/>
      <c r="N21" s="161">
        <v>12.6</v>
      </c>
      <c r="O21" s="162"/>
      <c r="P21" s="161">
        <v>14.1</v>
      </c>
      <c r="Q21" s="162"/>
      <c r="R21" s="161">
        <v>12.3</v>
      </c>
      <c r="S21" s="162"/>
      <c r="U21" s="3"/>
    </row>
    <row r="22" spans="1:39" s="1" customFormat="1" ht="18" customHeight="1" x14ac:dyDescent="0.25">
      <c r="A22" s="11" t="s">
        <v>39</v>
      </c>
      <c r="B22" s="156">
        <f>B23*B24/100</f>
        <v>1.6187499999999999</v>
      </c>
      <c r="C22" s="156"/>
      <c r="D22" s="156">
        <f>D23*D24/100</f>
        <v>1.6134999999999999</v>
      </c>
      <c r="E22" s="156"/>
      <c r="F22" s="156">
        <f>F23*F24/100</f>
        <v>1.6170000000000002</v>
      </c>
      <c r="G22" s="156"/>
      <c r="H22" s="156">
        <f>H23*H24/100</f>
        <v>1.6274999999999999</v>
      </c>
      <c r="I22" s="156"/>
      <c r="J22" s="156">
        <f>J23*J24/100</f>
        <v>1.6537500000000001</v>
      </c>
      <c r="K22" s="156"/>
      <c r="L22" s="156">
        <f>L23*L24/100</f>
        <v>1.6572499999999999</v>
      </c>
      <c r="M22" s="156"/>
      <c r="N22" s="156">
        <f>N23*N24/100</f>
        <v>1.65025</v>
      </c>
      <c r="O22" s="156"/>
      <c r="P22" s="156">
        <f>P23*P24/100</f>
        <v>1.6677500000000001</v>
      </c>
      <c r="Q22" s="156"/>
      <c r="R22" s="156">
        <f>R23*R24/100</f>
        <v>1.6642499999999998</v>
      </c>
      <c r="S22" s="156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</row>
    <row r="23" spans="1:39" ht="18" customHeight="1" x14ac:dyDescent="0.25">
      <c r="A23" s="9" t="s">
        <v>40</v>
      </c>
      <c r="B23" s="75">
        <f>$W$2</f>
        <v>1.75</v>
      </c>
      <c r="C23" s="75"/>
      <c r="D23" s="75">
        <f>$W$2</f>
        <v>1.75</v>
      </c>
      <c r="E23" s="75"/>
      <c r="F23" s="75">
        <f>$W$2</f>
        <v>1.75</v>
      </c>
      <c r="G23" s="75"/>
      <c r="H23" s="75">
        <f>$W$2</f>
        <v>1.75</v>
      </c>
      <c r="I23" s="75"/>
      <c r="J23" s="75">
        <f>$W$2</f>
        <v>1.75</v>
      </c>
      <c r="K23" s="75"/>
      <c r="L23" s="75">
        <f>$W$2</f>
        <v>1.75</v>
      </c>
      <c r="M23" s="75"/>
      <c r="N23" s="75">
        <f>$W$2</f>
        <v>1.75</v>
      </c>
      <c r="O23" s="75"/>
      <c r="P23" s="75">
        <f>$W$2</f>
        <v>1.75</v>
      </c>
      <c r="Q23" s="75"/>
      <c r="R23" s="75">
        <f>$W$2</f>
        <v>1.75</v>
      </c>
      <c r="S23" s="75"/>
      <c r="X23" s="3" t="s">
        <v>74</v>
      </c>
      <c r="Y23" s="3">
        <v>1</v>
      </c>
      <c r="Z23" s="3">
        <v>2</v>
      </c>
      <c r="AA23" s="3">
        <v>3</v>
      </c>
      <c r="AB23" s="3">
        <v>4</v>
      </c>
      <c r="AC23" s="3">
        <v>5</v>
      </c>
      <c r="AD23" s="3">
        <v>6</v>
      </c>
      <c r="AE23" s="3">
        <v>7</v>
      </c>
      <c r="AF23" s="3">
        <v>8</v>
      </c>
      <c r="AG23" s="3">
        <v>9</v>
      </c>
    </row>
    <row r="24" spans="1:39" s="2" customFormat="1" ht="18" customHeight="1" x14ac:dyDescent="0.25">
      <c r="A24" s="12" t="s">
        <v>41</v>
      </c>
      <c r="B24" s="76">
        <v>92.5</v>
      </c>
      <c r="C24" s="76"/>
      <c r="D24" s="76">
        <v>92.2</v>
      </c>
      <c r="E24" s="76"/>
      <c r="F24" s="76">
        <v>92.4</v>
      </c>
      <c r="G24" s="76"/>
      <c r="H24" s="76">
        <v>93</v>
      </c>
      <c r="I24" s="76"/>
      <c r="J24" s="76">
        <v>94.5</v>
      </c>
      <c r="K24" s="76"/>
      <c r="L24" s="76">
        <v>94.7</v>
      </c>
      <c r="M24" s="76"/>
      <c r="N24" s="76">
        <v>94.3</v>
      </c>
      <c r="O24" s="76"/>
      <c r="P24" s="76">
        <v>95.3</v>
      </c>
      <c r="Q24" s="76"/>
      <c r="R24" s="76">
        <v>95.1</v>
      </c>
      <c r="S24" s="76"/>
      <c r="V24" s="3"/>
      <c r="W24" s="3"/>
      <c r="X24" s="3" t="s">
        <v>11</v>
      </c>
      <c r="Y24" s="3" t="s">
        <v>75</v>
      </c>
      <c r="Z24" s="3" t="s">
        <v>75</v>
      </c>
      <c r="AA24" s="3" t="s">
        <v>75</v>
      </c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</row>
    <row r="25" spans="1:39" ht="18" customHeight="1" x14ac:dyDescent="0.25">
      <c r="A25" s="9" t="s">
        <v>42</v>
      </c>
      <c r="B25" s="53" t="s">
        <v>43</v>
      </c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7"/>
      <c r="X25" s="3" t="s">
        <v>70</v>
      </c>
      <c r="Y25" s="3" t="s">
        <v>76</v>
      </c>
      <c r="Z25" s="3" t="s">
        <v>77</v>
      </c>
      <c r="AA25" s="3" t="s">
        <v>78</v>
      </c>
    </row>
    <row r="26" spans="1:39" ht="18" customHeight="1" x14ac:dyDescent="0.25">
      <c r="A26" s="9" t="s">
        <v>44</v>
      </c>
      <c r="B26" s="53" t="s">
        <v>45</v>
      </c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7"/>
      <c r="X26" s="3" t="s">
        <v>79</v>
      </c>
      <c r="Y26" s="3">
        <v>8168</v>
      </c>
      <c r="Z26" s="3">
        <v>8168</v>
      </c>
      <c r="AA26" s="3">
        <v>8168</v>
      </c>
      <c r="AB26" s="3">
        <v>8168</v>
      </c>
      <c r="AC26" s="3">
        <v>8168</v>
      </c>
      <c r="AD26" s="3">
        <v>8168</v>
      </c>
      <c r="AE26" s="3">
        <v>8168</v>
      </c>
      <c r="AF26" s="3">
        <v>8168</v>
      </c>
      <c r="AG26" s="3">
        <v>8168</v>
      </c>
    </row>
    <row r="27" spans="1:39" ht="18" customHeight="1" x14ac:dyDescent="0.25">
      <c r="A27" s="9" t="s">
        <v>46</v>
      </c>
      <c r="B27" s="53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7"/>
      <c r="X27" s="3" t="s">
        <v>80</v>
      </c>
      <c r="Y27" s="3">
        <v>5915</v>
      </c>
      <c r="Z27" s="3">
        <v>5877</v>
      </c>
      <c r="AA27" s="3">
        <v>5977</v>
      </c>
      <c r="AB27" s="3">
        <v>6076</v>
      </c>
      <c r="AC27" s="3">
        <v>5802</v>
      </c>
      <c r="AD27" s="3">
        <v>5864</v>
      </c>
      <c r="AE27" s="3">
        <v>5619</v>
      </c>
      <c r="AF27" s="3">
        <v>5743</v>
      </c>
      <c r="AG27" s="3">
        <v>5783</v>
      </c>
    </row>
    <row r="28" spans="1:39" ht="19" customHeight="1" x14ac:dyDescent="0.25">
      <c r="A28" s="13" t="s">
        <v>47</v>
      </c>
      <c r="F28" s="5" t="s">
        <v>48</v>
      </c>
      <c r="K28" s="77" t="s">
        <v>49</v>
      </c>
      <c r="L28" s="77"/>
      <c r="X28" s="3" t="s">
        <v>81</v>
      </c>
      <c r="Y28" s="3">
        <v>771</v>
      </c>
      <c r="Z28" s="3">
        <v>757</v>
      </c>
      <c r="AA28" s="3">
        <v>774</v>
      </c>
      <c r="AB28" s="3">
        <v>743</v>
      </c>
      <c r="AC28" s="3">
        <v>758</v>
      </c>
      <c r="AD28" s="3">
        <v>756</v>
      </c>
      <c r="AE28" s="3">
        <v>757</v>
      </c>
      <c r="AF28" s="3">
        <v>752</v>
      </c>
      <c r="AG28" s="3">
        <v>745</v>
      </c>
    </row>
    <row r="29" spans="1:39" ht="19" customHeight="1" x14ac:dyDescent="0.25">
      <c r="X29" s="3" t="s">
        <v>82</v>
      </c>
      <c r="Y29" s="3">
        <v>1482</v>
      </c>
      <c r="Z29" s="3">
        <v>1534</v>
      </c>
      <c r="AA29" s="3">
        <v>1417</v>
      </c>
      <c r="AB29" s="3">
        <v>1349</v>
      </c>
      <c r="AC29" s="3">
        <v>1608</v>
      </c>
      <c r="AD29" s="3">
        <v>1548</v>
      </c>
      <c r="AE29" s="3">
        <v>1792</v>
      </c>
      <c r="AF29" s="3">
        <v>1673</v>
      </c>
      <c r="AG29" s="3">
        <v>1640</v>
      </c>
    </row>
    <row r="30" spans="1:39" ht="19" customHeight="1" x14ac:dyDescent="0.25">
      <c r="J30" s="3" t="s">
        <v>63</v>
      </c>
      <c r="X30" s="3" t="s">
        <v>83</v>
      </c>
      <c r="Y30" s="3">
        <v>1.41</v>
      </c>
      <c r="Z30" s="3">
        <v>1.41</v>
      </c>
      <c r="AA30" s="3">
        <v>1.41</v>
      </c>
      <c r="AB30" s="3">
        <v>1.41</v>
      </c>
      <c r="AC30" s="3">
        <v>1.41</v>
      </c>
      <c r="AD30" s="3">
        <v>1.41</v>
      </c>
      <c r="AE30" s="3">
        <v>1.41</v>
      </c>
      <c r="AF30" s="3">
        <v>1.41</v>
      </c>
      <c r="AG30" s="3">
        <v>1.41</v>
      </c>
    </row>
    <row r="31" spans="1:39" ht="19" customHeight="1" x14ac:dyDescent="0.25">
      <c r="X31" s="3" t="s">
        <v>84</v>
      </c>
      <c r="Y31" s="3">
        <v>1051</v>
      </c>
      <c r="Z31" s="3">
        <v>1088</v>
      </c>
      <c r="AA31" s="3">
        <v>1005</v>
      </c>
      <c r="AB31" s="3">
        <v>957</v>
      </c>
      <c r="AC31" s="3">
        <v>1140</v>
      </c>
      <c r="AD31" s="3">
        <v>1098</v>
      </c>
      <c r="AE31" s="3">
        <v>1271</v>
      </c>
      <c r="AF31" s="3">
        <v>1187</v>
      </c>
      <c r="AG31" s="3">
        <v>1163</v>
      </c>
    </row>
    <row r="32" spans="1:39" ht="19" customHeight="1" x14ac:dyDescent="0.25">
      <c r="X32" s="3" t="s">
        <v>85</v>
      </c>
      <c r="Y32" s="3">
        <v>2355</v>
      </c>
      <c r="Z32" s="3">
        <v>2409</v>
      </c>
      <c r="AA32" s="3">
        <v>2212</v>
      </c>
      <c r="AB32" s="3">
        <v>2112</v>
      </c>
      <c r="AC32" s="3">
        <v>2543</v>
      </c>
      <c r="AD32" s="3">
        <v>2389</v>
      </c>
      <c r="AE32" s="3">
        <v>2586</v>
      </c>
      <c r="AF32" s="3">
        <v>2456</v>
      </c>
      <c r="AG32" s="3">
        <v>2429</v>
      </c>
    </row>
    <row r="33" spans="2:33" ht="19" customHeight="1" x14ac:dyDescent="0.25">
      <c r="B33" s="69">
        <v>8229</v>
      </c>
      <c r="C33" s="69"/>
      <c r="D33" s="69">
        <f ca="1">B33-RANDBETWEEN(0,20)</f>
        <v>8209</v>
      </c>
      <c r="E33" s="69"/>
      <c r="F33" s="69">
        <f ca="1">D33-RANDBETWEEN(0,20)</f>
        <v>8204</v>
      </c>
      <c r="G33" s="69"/>
      <c r="H33" s="69">
        <f ca="1">F33-RANDBETWEEN(0,20)</f>
        <v>8200</v>
      </c>
      <c r="I33" s="69"/>
      <c r="J33" s="69">
        <f ca="1">H33-RANDBETWEEN(0,20)</f>
        <v>8183</v>
      </c>
      <c r="K33" s="69"/>
      <c r="L33" s="69">
        <f ca="1">J33-RANDBETWEEN(0,20)</f>
        <v>8165</v>
      </c>
      <c r="M33" s="69"/>
      <c r="N33" s="69">
        <f ca="1">L33-RANDBETWEEN(0,20)</f>
        <v>8148</v>
      </c>
      <c r="O33" s="69"/>
      <c r="P33" s="69">
        <f ca="1">N33-RANDBETWEEN(0,20)</f>
        <v>8142</v>
      </c>
      <c r="Q33" s="69"/>
      <c r="R33" s="69">
        <f ca="1">P33-RANDBETWEEN(0,20)</f>
        <v>8142</v>
      </c>
      <c r="S33" s="69"/>
      <c r="X33" s="3" t="s">
        <v>86</v>
      </c>
      <c r="Y33" s="3">
        <v>2.2400000000000002</v>
      </c>
      <c r="Z33" s="3">
        <v>2.21</v>
      </c>
      <c r="AA33" s="3">
        <v>2.2000000000000002</v>
      </c>
      <c r="AB33" s="3">
        <v>2.21</v>
      </c>
      <c r="AC33" s="3">
        <v>2.23</v>
      </c>
      <c r="AD33" s="3">
        <v>2.1800000000000002</v>
      </c>
      <c r="AE33" s="3">
        <v>2.0299999999999998</v>
      </c>
      <c r="AF33" s="3">
        <v>2.0699999999999998</v>
      </c>
      <c r="AG33" s="3">
        <v>2.09</v>
      </c>
    </row>
    <row r="34" spans="2:33" ht="19" customHeight="1" x14ac:dyDescent="0.25">
      <c r="B34" s="155">
        <f ca="1">RANDBETWEEN(2000,2468)</f>
        <v>2431</v>
      </c>
      <c r="C34" s="155"/>
      <c r="D34" s="155">
        <f t="shared" ref="D34" ca="1" si="1">RANDBETWEEN(2000,2468)</f>
        <v>2017</v>
      </c>
      <c r="E34" s="155"/>
      <c r="F34" s="155">
        <f t="shared" ref="F34" ca="1" si="2">RANDBETWEEN(2000,2468)</f>
        <v>2148</v>
      </c>
      <c r="G34" s="155"/>
      <c r="H34" s="155">
        <f t="shared" ref="H34" ca="1" si="3">RANDBETWEEN(2000,2468)</f>
        <v>2030</v>
      </c>
      <c r="I34" s="155"/>
      <c r="J34" s="155">
        <f t="shared" ref="J34" ca="1" si="4">RANDBETWEEN(2000,2468)</f>
        <v>2011</v>
      </c>
      <c r="K34" s="155"/>
      <c r="L34" s="155">
        <f t="shared" ref="L34" ca="1" si="5">RANDBETWEEN(2000,2468)</f>
        <v>2171</v>
      </c>
      <c r="M34" s="155"/>
      <c r="N34" s="155">
        <f t="shared" ref="N34" ca="1" si="6">RANDBETWEEN(2000,2468)</f>
        <v>2003</v>
      </c>
      <c r="O34" s="155"/>
      <c r="P34" s="155">
        <f t="shared" ref="P34" ca="1" si="7">RANDBETWEEN(2000,2468)</f>
        <v>2270</v>
      </c>
      <c r="Q34" s="155"/>
      <c r="R34" s="155">
        <f t="shared" ref="R34" ca="1" si="8">RANDBETWEEN(2000,2468)</f>
        <v>2418</v>
      </c>
      <c r="S34" s="155"/>
      <c r="X34" s="3" t="s">
        <v>34</v>
      </c>
      <c r="Y34" s="3">
        <v>5</v>
      </c>
      <c r="Z34" s="3">
        <v>2</v>
      </c>
      <c r="AA34" s="3">
        <v>15</v>
      </c>
      <c r="AB34" s="3">
        <v>16</v>
      </c>
      <c r="AC34" s="3">
        <v>7</v>
      </c>
      <c r="AD34" s="3">
        <v>9</v>
      </c>
      <c r="AE34" s="3">
        <v>6</v>
      </c>
      <c r="AF34" s="3">
        <v>10</v>
      </c>
      <c r="AG34" s="3">
        <v>1</v>
      </c>
    </row>
    <row r="35" spans="2:33" ht="19" customHeight="1" x14ac:dyDescent="0.25">
      <c r="B35" s="163">
        <f ca="1">RANDBETWEEN(122,150)/10</f>
        <v>14.5</v>
      </c>
      <c r="C35" s="164"/>
      <c r="D35" s="163">
        <f t="shared" ref="D35" ca="1" si="9">RANDBETWEEN(122,150)/10</f>
        <v>14.9</v>
      </c>
      <c r="E35" s="164"/>
      <c r="F35" s="163">
        <f t="shared" ref="F35" ca="1" si="10">RANDBETWEEN(122,150)/10</f>
        <v>13.6</v>
      </c>
      <c r="G35" s="164"/>
      <c r="H35" s="163">
        <f t="shared" ref="H35" ca="1" si="11">RANDBETWEEN(122,150)/10</f>
        <v>14.7</v>
      </c>
      <c r="I35" s="164"/>
      <c r="J35" s="163">
        <f t="shared" ref="J35" ca="1" si="12">RANDBETWEEN(122,150)/10</f>
        <v>12.8</v>
      </c>
      <c r="K35" s="164"/>
      <c r="L35" s="163">
        <f t="shared" ref="L35" ca="1" si="13">RANDBETWEEN(122,150)/10</f>
        <v>12.3</v>
      </c>
      <c r="M35" s="164"/>
      <c r="N35" s="163">
        <f t="shared" ref="N35" ca="1" si="14">RANDBETWEEN(122,150)/10</f>
        <v>13.9</v>
      </c>
      <c r="O35" s="164"/>
      <c r="P35" s="163">
        <f t="shared" ref="P35" ca="1" si="15">RANDBETWEEN(122,150)/10</f>
        <v>12.6</v>
      </c>
      <c r="Q35" s="164"/>
      <c r="R35" s="163">
        <f t="shared" ref="R35" ca="1" si="16">RANDBETWEEN(122,150)/10</f>
        <v>12.8</v>
      </c>
      <c r="S35" s="164"/>
      <c r="X35" s="3" t="s">
        <v>87</v>
      </c>
      <c r="Y35" s="3">
        <v>372</v>
      </c>
      <c r="Z35" s="3">
        <v>375</v>
      </c>
      <c r="AA35" s="3">
        <v>374</v>
      </c>
      <c r="AB35" s="3">
        <v>375</v>
      </c>
      <c r="AC35" s="3">
        <v>388</v>
      </c>
      <c r="AD35" s="3">
        <v>376</v>
      </c>
      <c r="AE35" s="3">
        <v>368</v>
      </c>
      <c r="AF35" s="3">
        <v>377</v>
      </c>
      <c r="AG35" s="3">
        <v>380</v>
      </c>
    </row>
    <row r="36" spans="2:33" ht="19" customHeight="1" x14ac:dyDescent="0.25">
      <c r="B36" s="76">
        <f ca="1">RANDBETWEEN(910,936)/10</f>
        <v>92.3</v>
      </c>
      <c r="C36" s="76"/>
      <c r="D36" s="76">
        <f t="shared" ref="D36" ca="1" si="17">RANDBETWEEN(910,936)/10</f>
        <v>91.7</v>
      </c>
      <c r="E36" s="76"/>
      <c r="F36" s="76">
        <f t="shared" ref="F36" ca="1" si="18">RANDBETWEEN(910,936)/10</f>
        <v>91.2</v>
      </c>
      <c r="G36" s="76"/>
      <c r="H36" s="76">
        <f ca="1">RANDBETWEEN(930,956)/10</f>
        <v>93.8</v>
      </c>
      <c r="I36" s="76"/>
      <c r="J36" s="76">
        <f t="shared" ref="J36" ca="1" si="19">RANDBETWEEN(930,956)/10</f>
        <v>94.5</v>
      </c>
      <c r="K36" s="76"/>
      <c r="L36" s="76">
        <f t="shared" ref="L36" ca="1" si="20">RANDBETWEEN(930,956)/10</f>
        <v>94.3</v>
      </c>
      <c r="M36" s="76"/>
      <c r="N36" s="76">
        <f t="shared" ref="N36" ca="1" si="21">RANDBETWEEN(930,956)/10</f>
        <v>94.9</v>
      </c>
      <c r="O36" s="76"/>
      <c r="P36" s="76">
        <f t="shared" ref="P36" ca="1" si="22">RANDBETWEEN(930,956)/10</f>
        <v>95</v>
      </c>
      <c r="Q36" s="76"/>
      <c r="R36" s="76">
        <f t="shared" ref="R36" ca="1" si="23">RANDBETWEEN(930,956)/10</f>
        <v>95.3</v>
      </c>
      <c r="S36" s="76"/>
      <c r="X36" s="3" t="s">
        <v>88</v>
      </c>
      <c r="Y36" s="3">
        <v>2702</v>
      </c>
      <c r="Z36" s="3">
        <v>2763</v>
      </c>
      <c r="AA36" s="3">
        <v>2565</v>
      </c>
      <c r="AB36" s="3">
        <v>2468</v>
      </c>
      <c r="AC36" s="3">
        <v>2901</v>
      </c>
      <c r="AD36" s="3">
        <v>2760</v>
      </c>
      <c r="AE36" s="3">
        <v>2939</v>
      </c>
      <c r="AF36" s="3">
        <v>2819</v>
      </c>
      <c r="AG36" s="3">
        <v>2801</v>
      </c>
    </row>
    <row r="37" spans="2:33" ht="19" customHeight="1" x14ac:dyDescent="0.25">
      <c r="X37" s="3" t="s">
        <v>89</v>
      </c>
      <c r="Y37" s="3">
        <v>2630</v>
      </c>
      <c r="Z37" s="3">
        <v>2705</v>
      </c>
      <c r="AA37" s="3">
        <v>2485</v>
      </c>
      <c r="AB37" s="3">
        <v>2388</v>
      </c>
      <c r="AC37" s="3">
        <v>2807</v>
      </c>
      <c r="AD37" s="3">
        <v>2702</v>
      </c>
      <c r="AE37" s="3">
        <v>2879</v>
      </c>
      <c r="AF37" s="3">
        <v>2746</v>
      </c>
      <c r="AG37" s="3">
        <v>2744</v>
      </c>
    </row>
    <row r="38" spans="2:33" ht="19" customHeight="1" x14ac:dyDescent="0.25">
      <c r="X38" s="3" t="s">
        <v>90</v>
      </c>
      <c r="Y38" s="3">
        <v>3.2</v>
      </c>
      <c r="Z38" s="3">
        <v>2.5</v>
      </c>
      <c r="AA38" s="3">
        <v>3.8</v>
      </c>
      <c r="AB38" s="3">
        <v>4</v>
      </c>
      <c r="AC38" s="3">
        <v>3.9</v>
      </c>
      <c r="AD38" s="3">
        <v>2.5</v>
      </c>
      <c r="AE38" s="3">
        <v>2.4</v>
      </c>
      <c r="AF38" s="3">
        <v>3.1</v>
      </c>
      <c r="AG38" s="3">
        <v>2.4</v>
      </c>
    </row>
    <row r="39" spans="2:33" ht="19" customHeight="1" x14ac:dyDescent="0.25">
      <c r="X39" s="3" t="s">
        <v>91</v>
      </c>
      <c r="Y39" s="3">
        <v>2.17</v>
      </c>
      <c r="Z39" s="3">
        <v>2.16</v>
      </c>
      <c r="AA39" s="3">
        <v>2.12</v>
      </c>
      <c r="AB39" s="3">
        <v>2.12</v>
      </c>
      <c r="AC39" s="3">
        <v>2.15</v>
      </c>
      <c r="AD39" s="3">
        <v>2.13</v>
      </c>
      <c r="AE39" s="3">
        <v>1.98</v>
      </c>
      <c r="AF39" s="3">
        <v>2.0099999999999998</v>
      </c>
      <c r="AG39" s="3">
        <v>2.04</v>
      </c>
    </row>
    <row r="40" spans="2:33" ht="19" customHeight="1" x14ac:dyDescent="0.25">
      <c r="X40" s="3" t="s">
        <v>92</v>
      </c>
      <c r="Y40" s="3">
        <v>2.31</v>
      </c>
      <c r="Z40" s="3">
        <v>2.31</v>
      </c>
      <c r="AA40" s="3">
        <v>2.31</v>
      </c>
      <c r="AB40" s="3">
        <v>2.31</v>
      </c>
      <c r="AC40" s="3">
        <v>2.31</v>
      </c>
      <c r="AD40" s="3">
        <v>2.31</v>
      </c>
      <c r="AE40" s="3">
        <v>2.31</v>
      </c>
      <c r="AF40" s="3">
        <v>2.31</v>
      </c>
      <c r="AG40" s="3">
        <v>2.31</v>
      </c>
    </row>
    <row r="41" spans="2:33" x14ac:dyDescent="0.25">
      <c r="X41" s="3" t="s">
        <v>93</v>
      </c>
      <c r="Y41" s="3">
        <v>93.9</v>
      </c>
      <c r="Z41" s="3">
        <v>93.5</v>
      </c>
      <c r="AA41" s="3">
        <v>91.8</v>
      </c>
      <c r="AB41" s="3">
        <v>91.8</v>
      </c>
      <c r="AC41" s="3">
        <v>93.1</v>
      </c>
      <c r="AD41" s="3">
        <v>92.2</v>
      </c>
      <c r="AE41" s="3">
        <v>85.7</v>
      </c>
      <c r="AF41" s="3">
        <v>87</v>
      </c>
      <c r="AG41" s="3">
        <v>88.3</v>
      </c>
    </row>
    <row r="43" spans="2:33" ht="26.25" customHeight="1" x14ac:dyDescent="0.25"/>
  </sheetData>
  <mergeCells count="221">
    <mergeCell ref="R35:S35"/>
    <mergeCell ref="B36:C36"/>
    <mergeCell ref="D36:E36"/>
    <mergeCell ref="F36:G36"/>
    <mergeCell ref="H36:I36"/>
    <mergeCell ref="J36:K36"/>
    <mergeCell ref="L36:M36"/>
    <mergeCell ref="N36:O36"/>
    <mergeCell ref="P36:Q36"/>
    <mergeCell ref="R36:S36"/>
    <mergeCell ref="P34:Q34"/>
    <mergeCell ref="R34:S34"/>
    <mergeCell ref="B35:C35"/>
    <mergeCell ref="D35:E35"/>
    <mergeCell ref="F35:G35"/>
    <mergeCell ref="H35:I35"/>
    <mergeCell ref="J35:K35"/>
    <mergeCell ref="L35:M35"/>
    <mergeCell ref="N35:O35"/>
    <mergeCell ref="P35:Q35"/>
    <mergeCell ref="N33:O33"/>
    <mergeCell ref="P33:Q33"/>
    <mergeCell ref="R33:S33"/>
    <mergeCell ref="B34:C34"/>
    <mergeCell ref="D34:E34"/>
    <mergeCell ref="F34:G34"/>
    <mergeCell ref="H34:I34"/>
    <mergeCell ref="J34:K34"/>
    <mergeCell ref="L34:M34"/>
    <mergeCell ref="N34:O34"/>
    <mergeCell ref="K28:L28"/>
    <mergeCell ref="B33:C33"/>
    <mergeCell ref="D33:E33"/>
    <mergeCell ref="F33:G33"/>
    <mergeCell ref="H33:I33"/>
    <mergeCell ref="J33:K33"/>
    <mergeCell ref="L33:M33"/>
    <mergeCell ref="N24:O24"/>
    <mergeCell ref="P24:Q24"/>
    <mergeCell ref="R24:S24"/>
    <mergeCell ref="B25:S25"/>
    <mergeCell ref="B26:S26"/>
    <mergeCell ref="B27:S27"/>
    <mergeCell ref="B24:C24"/>
    <mergeCell ref="D24:E24"/>
    <mergeCell ref="F24:G24"/>
    <mergeCell ref="H24:I24"/>
    <mergeCell ref="J24:K24"/>
    <mergeCell ref="L24:M24"/>
    <mergeCell ref="R22:S22"/>
    <mergeCell ref="B23:C23"/>
    <mergeCell ref="D23:E23"/>
    <mergeCell ref="F23:G23"/>
    <mergeCell ref="H23:I23"/>
    <mergeCell ref="J23:K23"/>
    <mergeCell ref="L23:M23"/>
    <mergeCell ref="N23:O23"/>
    <mergeCell ref="P23:Q23"/>
    <mergeCell ref="R23:S23"/>
    <mergeCell ref="P21:Q21"/>
    <mergeCell ref="R21:S21"/>
    <mergeCell ref="B22:C22"/>
    <mergeCell ref="D22:E22"/>
    <mergeCell ref="F22:G22"/>
    <mergeCell ref="H22:I22"/>
    <mergeCell ref="J22:K22"/>
    <mergeCell ref="L22:M22"/>
    <mergeCell ref="N22:O22"/>
    <mergeCell ref="P22:Q22"/>
    <mergeCell ref="N20:O20"/>
    <mergeCell ref="P20:Q20"/>
    <mergeCell ref="R20:S20"/>
    <mergeCell ref="B21:C21"/>
    <mergeCell ref="D21:E21"/>
    <mergeCell ref="F21:G21"/>
    <mergeCell ref="H21:I21"/>
    <mergeCell ref="J21:K21"/>
    <mergeCell ref="L21:M21"/>
    <mergeCell ref="N21:O21"/>
    <mergeCell ref="B20:C20"/>
    <mergeCell ref="D20:E20"/>
    <mergeCell ref="F20:G20"/>
    <mergeCell ref="H20:I20"/>
    <mergeCell ref="J20:K20"/>
    <mergeCell ref="L20:M20"/>
    <mergeCell ref="R18:S18"/>
    <mergeCell ref="B19:C19"/>
    <mergeCell ref="D19:E19"/>
    <mergeCell ref="F19:G19"/>
    <mergeCell ref="H19:I19"/>
    <mergeCell ref="J19:K19"/>
    <mergeCell ref="L19:M19"/>
    <mergeCell ref="N19:O19"/>
    <mergeCell ref="P19:Q19"/>
    <mergeCell ref="R19:S19"/>
    <mergeCell ref="P17:Q17"/>
    <mergeCell ref="R17:S17"/>
    <mergeCell ref="B18:C18"/>
    <mergeCell ref="D18:E18"/>
    <mergeCell ref="F18:G18"/>
    <mergeCell ref="H18:I18"/>
    <mergeCell ref="J18:K18"/>
    <mergeCell ref="L18:M18"/>
    <mergeCell ref="N18:O18"/>
    <mergeCell ref="P18:Q18"/>
    <mergeCell ref="N16:O16"/>
    <mergeCell ref="P16:Q16"/>
    <mergeCell ref="R16:S16"/>
    <mergeCell ref="B17:C17"/>
    <mergeCell ref="D17:E17"/>
    <mergeCell ref="F17:G17"/>
    <mergeCell ref="H17:I17"/>
    <mergeCell ref="J17:K17"/>
    <mergeCell ref="L17:M17"/>
    <mergeCell ref="N17:O17"/>
    <mergeCell ref="B16:C16"/>
    <mergeCell ref="D16:E16"/>
    <mergeCell ref="F16:G16"/>
    <mergeCell ref="H16:I16"/>
    <mergeCell ref="J16:K16"/>
    <mergeCell ref="L16:M16"/>
    <mergeCell ref="R14:S14"/>
    <mergeCell ref="B15:C15"/>
    <mergeCell ref="D15:E15"/>
    <mergeCell ref="F15:G15"/>
    <mergeCell ref="H15:I15"/>
    <mergeCell ref="J15:K15"/>
    <mergeCell ref="L15:M15"/>
    <mergeCell ref="N15:O15"/>
    <mergeCell ref="P15:Q15"/>
    <mergeCell ref="R15:S15"/>
    <mergeCell ref="P13:Q13"/>
    <mergeCell ref="R13:S13"/>
    <mergeCell ref="B14:C14"/>
    <mergeCell ref="D14:E14"/>
    <mergeCell ref="F14:G14"/>
    <mergeCell ref="H14:I14"/>
    <mergeCell ref="J14:K14"/>
    <mergeCell ref="L14:M14"/>
    <mergeCell ref="N14:O14"/>
    <mergeCell ref="P14:Q14"/>
    <mergeCell ref="N12:O12"/>
    <mergeCell ref="P12:Q12"/>
    <mergeCell ref="R12:S12"/>
    <mergeCell ref="B13:C13"/>
    <mergeCell ref="D13:E13"/>
    <mergeCell ref="F13:G13"/>
    <mergeCell ref="H13:I13"/>
    <mergeCell ref="J13:K13"/>
    <mergeCell ref="L13:M13"/>
    <mergeCell ref="N13:O13"/>
    <mergeCell ref="B12:C12"/>
    <mergeCell ref="D12:E12"/>
    <mergeCell ref="F12:G12"/>
    <mergeCell ref="H12:I12"/>
    <mergeCell ref="J12:K12"/>
    <mergeCell ref="L12:M12"/>
    <mergeCell ref="R10:S10"/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P9:Q9"/>
    <mergeCell ref="R9:S9"/>
    <mergeCell ref="B10:C10"/>
    <mergeCell ref="D10:E10"/>
    <mergeCell ref="F10:G10"/>
    <mergeCell ref="H10:I10"/>
    <mergeCell ref="J10:K10"/>
    <mergeCell ref="L10:M10"/>
    <mergeCell ref="N10:O10"/>
    <mergeCell ref="P10:Q10"/>
    <mergeCell ref="N8:O8"/>
    <mergeCell ref="P8:Q8"/>
    <mergeCell ref="R8:S8"/>
    <mergeCell ref="B9:C9"/>
    <mergeCell ref="D9:E9"/>
    <mergeCell ref="F9:G9"/>
    <mergeCell ref="H9:I9"/>
    <mergeCell ref="J9:K9"/>
    <mergeCell ref="L9:M9"/>
    <mergeCell ref="N9:O9"/>
    <mergeCell ref="B8:C8"/>
    <mergeCell ref="D8:E8"/>
    <mergeCell ref="F8:G8"/>
    <mergeCell ref="H8:I8"/>
    <mergeCell ref="J8:K8"/>
    <mergeCell ref="L8:M8"/>
    <mergeCell ref="R6:S6"/>
    <mergeCell ref="B7:C7"/>
    <mergeCell ref="D7:E7"/>
    <mergeCell ref="F7:G7"/>
    <mergeCell ref="H7:I7"/>
    <mergeCell ref="J7:K7"/>
    <mergeCell ref="L7:M7"/>
    <mergeCell ref="N7:O7"/>
    <mergeCell ref="P7:Q7"/>
    <mergeCell ref="R7:S7"/>
    <mergeCell ref="B4:S4"/>
    <mergeCell ref="B5:S5"/>
    <mergeCell ref="B6:C6"/>
    <mergeCell ref="D6:E6"/>
    <mergeCell ref="F6:G6"/>
    <mergeCell ref="H6:I6"/>
    <mergeCell ref="J6:K6"/>
    <mergeCell ref="L6:M6"/>
    <mergeCell ref="N6:O6"/>
    <mergeCell ref="P6:Q6"/>
    <mergeCell ref="A1:M1"/>
    <mergeCell ref="N1:Q1"/>
    <mergeCell ref="R1:U1"/>
    <mergeCell ref="A2:U2"/>
    <mergeCell ref="A3:C3"/>
    <mergeCell ref="D3:G3"/>
    <mergeCell ref="J3:L3"/>
    <mergeCell ref="M3:S3"/>
  </mergeCells>
  <phoneticPr fontId="31" type="noConversion"/>
  <printOptions horizontalCentered="1"/>
  <pageMargins left="0.55118110236220497" right="0.55118110236220497" top="0.39370078740157499" bottom="0.196850393700787" header="0.511811023622047" footer="0.511811023622047"/>
  <pageSetup paperSize="9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04</vt:lpstr>
      <vt:lpstr>05</vt:lpstr>
      <vt:lpstr>06</vt:lpstr>
      <vt:lpstr>07</vt:lpstr>
      <vt:lpstr>08</vt:lpstr>
      <vt:lpstr>10</vt:lpstr>
      <vt:lpstr>XXX</vt:lpstr>
      <vt:lpstr>10 (2)</vt:lpstr>
      <vt:lpstr>XXX (3)</vt:lpstr>
      <vt:lpstr>XXX (2)</vt:lpstr>
    </vt:vector>
  </TitlesOfParts>
  <Company>CHINA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大帅 黄</cp:lastModifiedBy>
  <cp:lastPrinted>2017-05-05T08:40:00Z</cp:lastPrinted>
  <dcterms:created xsi:type="dcterms:W3CDTF">2010-12-19T20:53:00Z</dcterms:created>
  <dcterms:modified xsi:type="dcterms:W3CDTF">2026-05-29T08:32:05Z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2F211A7417FEF40558AD7A69805F1D01_42</vt:lpwstr>
  </property>
  <property fmtid="{D5CDD505-2E9C-101B-9397-08002B2CF9AE}" pid="3" name="KSOProductBuildVer">
    <vt:lpwstr>2052-12.1.2.24730</vt:lpwstr>
  </property>
  <property fmtid="{D5CDD505-2E9C-101B-9397-08002B2CF9AE}" pid="4" name="CalculationRule">
    <vt:i4>0</vt:i4>
  </property>
</Properties>
</file>